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ocument\Data Analyst Portfolio\Kraven\"/>
    </mc:Choice>
  </mc:AlternateContent>
  <xr:revisionPtr revIDLastSave="0" documentId="13_ncr:1_{9C9C6B70-1367-42B7-992F-4BF36F96ACC9}" xr6:coauthVersionLast="47" xr6:coauthVersionMax="47" xr10:uidLastSave="{00000000-0000-0000-0000-000000000000}"/>
  <bookViews>
    <workbookView xWindow="28635" yWindow="-165" windowWidth="29130" windowHeight="15810" activeTab="4" xr2:uid="{9263DAE3-8C8E-4F02-A81E-A7F583EF5096}"/>
  </bookViews>
  <sheets>
    <sheet name="data" sheetId="2" r:id="rId1"/>
    <sheet name="Analysis" sheetId="1" r:id="rId2"/>
    <sheet name="Forecast Sheet" sheetId="12" r:id="rId3"/>
    <sheet name="Revenue" sheetId="6" r:id="rId4"/>
    <sheet name="Profit Sustainability" sheetId="11" r:id="rId5"/>
    <sheet name="Sheet1" sheetId="7" state="hidden" r:id="rId6"/>
  </sheets>
  <definedNames>
    <definedName name="ExternalData_1" localSheetId="0" hidden="1">data!$A$1:$S$701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8" i="1" l="1"/>
  <c r="AM17" i="1"/>
  <c r="N29" i="1"/>
  <c r="W8" i="1"/>
  <c r="W7" i="1"/>
  <c r="W16" i="1"/>
  <c r="W17" i="1" s="1"/>
  <c r="T2" i="2" a="1"/>
  <c r="T2" i="2" s="1"/>
  <c r="T3" i="2" a="1"/>
  <c r="T3" i="2" s="1"/>
  <c r="T4" i="2" a="1"/>
  <c r="T4" i="2" s="1"/>
  <c r="T5" i="2" a="1"/>
  <c r="T5" i="2" s="1"/>
  <c r="T6" i="2" a="1"/>
  <c r="T6" i="2" s="1"/>
  <c r="T7" i="2" a="1"/>
  <c r="T7" i="2" s="1"/>
  <c r="T8" i="2" a="1"/>
  <c r="T8" i="2" s="1"/>
  <c r="T9" i="2" a="1"/>
  <c r="T9" i="2" s="1"/>
  <c r="T10" i="2" a="1"/>
  <c r="T10" i="2" s="1"/>
  <c r="T11" i="2" a="1"/>
  <c r="T11" i="2" s="1"/>
  <c r="T12" i="2" a="1"/>
  <c r="T12" i="2" s="1"/>
  <c r="T13" i="2" a="1"/>
  <c r="T13" i="2" s="1"/>
  <c r="T14" i="2" a="1"/>
  <c r="T14" i="2" s="1"/>
  <c r="T15" i="2" a="1"/>
  <c r="T15" i="2" s="1"/>
  <c r="T16" i="2" a="1"/>
  <c r="T16" i="2" s="1"/>
  <c r="T17" i="2" a="1"/>
  <c r="T17" i="2" s="1"/>
  <c r="T18" i="2" a="1"/>
  <c r="T18" i="2" s="1"/>
  <c r="T19" i="2" a="1"/>
  <c r="T19" i="2" s="1"/>
  <c r="T20" i="2" a="1"/>
  <c r="T20" i="2" s="1"/>
  <c r="T21" i="2" a="1"/>
  <c r="T21" i="2" s="1"/>
  <c r="T22" i="2" a="1"/>
  <c r="T22" i="2" s="1"/>
  <c r="T23" i="2" a="1"/>
  <c r="T23" i="2" s="1"/>
  <c r="T24" i="2" a="1"/>
  <c r="T24" i="2" s="1"/>
  <c r="T25" i="2" a="1"/>
  <c r="T25" i="2" s="1"/>
  <c r="T26" i="2" a="1"/>
  <c r="T26" i="2" s="1"/>
  <c r="T27" i="2" a="1"/>
  <c r="T27" i="2" s="1"/>
  <c r="T28" i="2" a="1"/>
  <c r="T28" i="2" s="1"/>
  <c r="T29" i="2" a="1"/>
  <c r="T29" i="2" s="1"/>
  <c r="T30" i="2" a="1"/>
  <c r="T30" i="2" s="1"/>
  <c r="T31" i="2" a="1"/>
  <c r="T31" i="2" s="1"/>
  <c r="T32" i="2" a="1"/>
  <c r="T32" i="2" s="1"/>
  <c r="T33" i="2" a="1"/>
  <c r="T33" i="2" s="1"/>
  <c r="T34" i="2" a="1"/>
  <c r="T34" i="2" s="1"/>
  <c r="T35" i="2" a="1"/>
  <c r="T35" i="2" s="1"/>
  <c r="T36" i="2" a="1"/>
  <c r="T36" i="2" s="1"/>
  <c r="T37" i="2" a="1"/>
  <c r="T37" i="2" s="1"/>
  <c r="T38" i="2" a="1"/>
  <c r="T38" i="2" s="1"/>
  <c r="T39" i="2" a="1"/>
  <c r="T39" i="2" s="1"/>
  <c r="T40" i="2" a="1"/>
  <c r="T40" i="2" s="1"/>
  <c r="T41" i="2" a="1"/>
  <c r="T41" i="2" s="1"/>
  <c r="T42" i="2" a="1"/>
  <c r="T42" i="2" s="1"/>
  <c r="T43" i="2" a="1"/>
  <c r="T43" i="2" s="1"/>
  <c r="T44" i="2" a="1"/>
  <c r="T44" i="2" s="1"/>
  <c r="T45" i="2" a="1"/>
  <c r="T45" i="2" s="1"/>
  <c r="T46" i="2" a="1"/>
  <c r="T46" i="2" s="1"/>
  <c r="T47" i="2" a="1"/>
  <c r="T47" i="2" s="1"/>
  <c r="T48" i="2" a="1"/>
  <c r="T48" i="2" s="1"/>
  <c r="T49" i="2" a="1"/>
  <c r="T49" i="2" s="1"/>
  <c r="T50" i="2" a="1"/>
  <c r="T50" i="2" s="1"/>
  <c r="T51" i="2" a="1"/>
  <c r="T51" i="2" s="1"/>
  <c r="T52" i="2" a="1"/>
  <c r="T52" i="2" s="1"/>
  <c r="T53" i="2" a="1"/>
  <c r="T53" i="2" s="1"/>
  <c r="T54" i="2" a="1"/>
  <c r="T54" i="2" s="1"/>
  <c r="T55" i="2" a="1"/>
  <c r="T55" i="2" s="1"/>
  <c r="T56" i="2" a="1"/>
  <c r="T56" i="2" s="1"/>
  <c r="T57" i="2" a="1"/>
  <c r="T57" i="2" s="1"/>
  <c r="T58" i="2" a="1"/>
  <c r="T58" i="2" s="1"/>
  <c r="T59" i="2" a="1"/>
  <c r="T59" i="2" s="1"/>
  <c r="T60" i="2" a="1"/>
  <c r="T60" i="2" s="1"/>
  <c r="T61" i="2" a="1"/>
  <c r="T61" i="2" s="1"/>
  <c r="T62" i="2" a="1"/>
  <c r="T62" i="2" s="1"/>
  <c r="T63" i="2" a="1"/>
  <c r="T63" i="2" s="1"/>
  <c r="T64" i="2" a="1"/>
  <c r="T64" i="2" s="1"/>
  <c r="T65" i="2" a="1"/>
  <c r="T65" i="2" s="1"/>
  <c r="T66" i="2" a="1"/>
  <c r="T66" i="2" s="1"/>
  <c r="T67" i="2" a="1"/>
  <c r="T67" i="2" s="1"/>
  <c r="T68" i="2" a="1"/>
  <c r="T68" i="2" s="1"/>
  <c r="T69" i="2" a="1"/>
  <c r="T69" i="2" s="1"/>
  <c r="T70" i="2" a="1"/>
  <c r="T70" i="2" s="1"/>
  <c r="T71" i="2" a="1"/>
  <c r="T71" i="2" s="1"/>
  <c r="T72" i="2" a="1"/>
  <c r="T72" i="2" s="1"/>
  <c r="T73" i="2" a="1"/>
  <c r="T73" i="2" s="1"/>
  <c r="T74" i="2" a="1"/>
  <c r="T74" i="2" s="1"/>
  <c r="T75" i="2" a="1"/>
  <c r="T75" i="2" s="1"/>
  <c r="T76" i="2" a="1"/>
  <c r="T76" i="2" s="1"/>
  <c r="T77" i="2" a="1"/>
  <c r="T77" i="2" s="1"/>
  <c r="T78" i="2" a="1"/>
  <c r="T78" i="2" s="1"/>
  <c r="T79" i="2" a="1"/>
  <c r="T79" i="2" s="1"/>
  <c r="T80" i="2" a="1"/>
  <c r="T80" i="2" s="1"/>
  <c r="T81" i="2" a="1"/>
  <c r="T81" i="2" s="1"/>
  <c r="T82" i="2" a="1"/>
  <c r="T82" i="2" s="1"/>
  <c r="T83" i="2" a="1"/>
  <c r="T83" i="2" s="1"/>
  <c r="T84" i="2" a="1"/>
  <c r="T84" i="2" s="1"/>
  <c r="T85" i="2" a="1"/>
  <c r="T85" i="2" s="1"/>
  <c r="T86" i="2" a="1"/>
  <c r="T86" i="2" s="1"/>
  <c r="T87" i="2" a="1"/>
  <c r="T87" i="2"/>
  <c r="T88" i="2" a="1"/>
  <c r="T88" i="2" s="1"/>
  <c r="T89" i="2" a="1"/>
  <c r="T89" i="2" s="1"/>
  <c r="T90" i="2" a="1"/>
  <c r="T90" i="2" s="1"/>
  <c r="T91" i="2" a="1"/>
  <c r="T91" i="2"/>
  <c r="T92" i="2" a="1"/>
  <c r="T92" i="2" s="1"/>
  <c r="T93" i="2" a="1"/>
  <c r="T93" i="2" s="1"/>
  <c r="T94" i="2" a="1"/>
  <c r="T94" i="2" s="1"/>
  <c r="T95" i="2" a="1"/>
  <c r="T95" i="2"/>
  <c r="T96" i="2" a="1"/>
  <c r="T96" i="2" s="1"/>
  <c r="T97" i="2" a="1"/>
  <c r="T97" i="2" s="1"/>
  <c r="T98" i="2" a="1"/>
  <c r="T98" i="2" s="1"/>
  <c r="T99" i="2" a="1"/>
  <c r="T99" i="2"/>
  <c r="T100" i="2" a="1"/>
  <c r="T100" i="2" s="1"/>
  <c r="T101" i="2" a="1"/>
  <c r="T101" i="2" s="1"/>
  <c r="T102" i="2" a="1"/>
  <c r="T102" i="2" s="1"/>
  <c r="T103" i="2" a="1"/>
  <c r="T103" i="2"/>
  <c r="T104" i="2" a="1"/>
  <c r="T104" i="2" s="1"/>
  <c r="T105" i="2" a="1"/>
  <c r="T105" i="2" s="1"/>
  <c r="T106" i="2" a="1"/>
  <c r="T106" i="2" s="1"/>
  <c r="T107" i="2" a="1"/>
  <c r="T107" i="2"/>
  <c r="T108" i="2" a="1"/>
  <c r="T108" i="2" s="1"/>
  <c r="T109" i="2" a="1"/>
  <c r="T109" i="2" s="1"/>
  <c r="T110" i="2" a="1"/>
  <c r="T110" i="2" s="1"/>
  <c r="T111" i="2" a="1"/>
  <c r="T111" i="2"/>
  <c r="T112" i="2" a="1"/>
  <c r="T112" i="2" s="1"/>
  <c r="T113" i="2" a="1"/>
  <c r="T113" i="2" s="1"/>
  <c r="T114" i="2" a="1"/>
  <c r="T114" i="2" s="1"/>
  <c r="T115" i="2" a="1"/>
  <c r="T115" i="2"/>
  <c r="T116" i="2" a="1"/>
  <c r="T116" i="2" s="1"/>
  <c r="T117" i="2" a="1"/>
  <c r="T117" i="2" s="1"/>
  <c r="T118" i="2" a="1"/>
  <c r="T118" i="2" s="1"/>
  <c r="T119" i="2" a="1"/>
  <c r="T119" i="2"/>
  <c r="T120" i="2" a="1"/>
  <c r="T120" i="2" s="1"/>
  <c r="T121" i="2" a="1"/>
  <c r="T121" i="2" s="1"/>
  <c r="T122" i="2" a="1"/>
  <c r="T122" i="2" s="1"/>
  <c r="T123" i="2" a="1"/>
  <c r="T123" i="2"/>
  <c r="T124" i="2" a="1"/>
  <c r="T124" i="2" s="1"/>
  <c r="T125" i="2" a="1"/>
  <c r="T125" i="2" s="1"/>
  <c r="T126" i="2" a="1"/>
  <c r="T126" i="2" s="1"/>
  <c r="T127" i="2" a="1"/>
  <c r="T127" i="2"/>
  <c r="T128" i="2" a="1"/>
  <c r="T128" i="2" s="1"/>
  <c r="T129" i="2" a="1"/>
  <c r="T129" i="2" s="1"/>
  <c r="T130" i="2" a="1"/>
  <c r="T130" i="2" s="1"/>
  <c r="T131" i="2" a="1"/>
  <c r="T131" i="2"/>
  <c r="T132" i="2" a="1"/>
  <c r="T132" i="2" s="1"/>
  <c r="T133" i="2" a="1"/>
  <c r="T133" i="2" s="1"/>
  <c r="T134" i="2" a="1"/>
  <c r="T134" i="2" s="1"/>
  <c r="T135" i="2" a="1"/>
  <c r="T135" i="2"/>
  <c r="T136" i="2" a="1"/>
  <c r="T136" i="2" s="1"/>
  <c r="T137" i="2" a="1"/>
  <c r="T137" i="2" s="1"/>
  <c r="T138" i="2" a="1"/>
  <c r="T138" i="2" s="1"/>
  <c r="T139" i="2" a="1"/>
  <c r="T139" i="2"/>
  <c r="T140" i="2" a="1"/>
  <c r="T140" i="2" s="1"/>
  <c r="T141" i="2" a="1"/>
  <c r="T141" i="2" s="1"/>
  <c r="T142" i="2" a="1"/>
  <c r="T142" i="2" s="1"/>
  <c r="T143" i="2" a="1"/>
  <c r="T143" i="2"/>
  <c r="T144" i="2" a="1"/>
  <c r="T144" i="2" s="1"/>
  <c r="T145" i="2" a="1"/>
  <c r="T145" i="2" s="1"/>
  <c r="T146" i="2" a="1"/>
  <c r="T146" i="2" s="1"/>
  <c r="T147" i="2" a="1"/>
  <c r="T147" i="2"/>
  <c r="T148" i="2" a="1"/>
  <c r="T148" i="2" s="1"/>
  <c r="T149" i="2" a="1"/>
  <c r="T149" i="2" s="1"/>
  <c r="T150" i="2" a="1"/>
  <c r="T150" i="2" s="1"/>
  <c r="T151" i="2" a="1"/>
  <c r="T151" i="2"/>
  <c r="T152" i="2" a="1"/>
  <c r="T152" i="2" s="1"/>
  <c r="T153" i="2" a="1"/>
  <c r="T153" i="2" s="1"/>
  <c r="T154" i="2" a="1"/>
  <c r="T154" i="2" s="1"/>
  <c r="T155" i="2" a="1"/>
  <c r="T155" i="2"/>
  <c r="T156" i="2" a="1"/>
  <c r="T156" i="2" s="1"/>
  <c r="T157" i="2" a="1"/>
  <c r="T157" i="2" s="1"/>
  <c r="T158" i="2" a="1"/>
  <c r="T158" i="2" s="1"/>
  <c r="T159" i="2" a="1"/>
  <c r="T159" i="2"/>
  <c r="T160" i="2" a="1"/>
  <c r="T160" i="2" s="1"/>
  <c r="T161" i="2" a="1"/>
  <c r="T161" i="2" s="1"/>
  <c r="T162" i="2" a="1"/>
  <c r="T162" i="2" s="1"/>
  <c r="T163" i="2" a="1"/>
  <c r="T163" i="2"/>
  <c r="T164" i="2" a="1"/>
  <c r="T164" i="2" s="1"/>
  <c r="T165" i="2" a="1"/>
  <c r="T165" i="2" s="1"/>
  <c r="T166" i="2" a="1"/>
  <c r="T166" i="2" s="1"/>
  <c r="T167" i="2" a="1"/>
  <c r="T167" i="2"/>
  <c r="T168" i="2" a="1"/>
  <c r="T168" i="2" s="1"/>
  <c r="T169" i="2" a="1"/>
  <c r="T169" i="2" s="1"/>
  <c r="T170" i="2" a="1"/>
  <c r="T170" i="2" s="1"/>
  <c r="T171" i="2" a="1"/>
  <c r="T171" i="2"/>
  <c r="T172" i="2" a="1"/>
  <c r="T172" i="2"/>
  <c r="T173" i="2" a="1"/>
  <c r="T173" i="2"/>
  <c r="T174" i="2" a="1"/>
  <c r="T174" i="2"/>
  <c r="T175" i="2" a="1"/>
  <c r="T175" i="2"/>
  <c r="T176" i="2" a="1"/>
  <c r="T176" i="2"/>
  <c r="T177" i="2" a="1"/>
  <c r="T177" i="2"/>
  <c r="T178" i="2" a="1"/>
  <c r="T178" i="2"/>
  <c r="T179" i="2" a="1"/>
  <c r="T179" i="2"/>
  <c r="T180" i="2" a="1"/>
  <c r="T180" i="2"/>
  <c r="T181" i="2" a="1"/>
  <c r="T181" i="2" s="1"/>
  <c r="T182" i="2" a="1"/>
  <c r="T182" i="2"/>
  <c r="T183" i="2" a="1"/>
  <c r="T183" i="2" s="1"/>
  <c r="T184" i="2" a="1"/>
  <c r="T184" i="2" s="1"/>
  <c r="T185" i="2" a="1"/>
  <c r="T185" i="2" s="1"/>
  <c r="T186" i="2" a="1"/>
  <c r="T186" i="2" s="1"/>
  <c r="T187" i="2" a="1"/>
  <c r="T187" i="2" s="1"/>
  <c r="T188" i="2" a="1"/>
  <c r="T188" i="2" s="1"/>
  <c r="T189" i="2" a="1"/>
  <c r="T189" i="2" s="1"/>
  <c r="T190" i="2" a="1"/>
  <c r="T190" i="2" s="1"/>
  <c r="T191" i="2" a="1"/>
  <c r="T191" i="2" s="1"/>
  <c r="T192" i="2" a="1"/>
  <c r="T192" i="2" s="1"/>
  <c r="T193" i="2" a="1"/>
  <c r="T193" i="2" s="1"/>
  <c r="T194" i="2" a="1"/>
  <c r="T194" i="2" s="1"/>
  <c r="T195" i="2" a="1"/>
  <c r="T195" i="2" s="1"/>
  <c r="T196" i="2" a="1"/>
  <c r="T196" i="2" s="1"/>
  <c r="T197" i="2" a="1"/>
  <c r="T197" i="2" s="1"/>
  <c r="T198" i="2" a="1"/>
  <c r="T198" i="2" s="1"/>
  <c r="T199" i="2" a="1"/>
  <c r="T199" i="2" s="1"/>
  <c r="T200" i="2" a="1"/>
  <c r="T200" i="2" s="1"/>
  <c r="T201" i="2" a="1"/>
  <c r="T201" i="2" s="1"/>
  <c r="T202" i="2" a="1"/>
  <c r="T202" i="2" s="1"/>
  <c r="T203" i="2" a="1"/>
  <c r="T203" i="2" s="1"/>
  <c r="T204" i="2" a="1"/>
  <c r="T204" i="2" s="1"/>
  <c r="T205" i="2" a="1"/>
  <c r="T205" i="2" s="1"/>
  <c r="T206" i="2" a="1"/>
  <c r="T206" i="2" s="1"/>
  <c r="T207" i="2" a="1"/>
  <c r="T207" i="2" s="1"/>
  <c r="T208" i="2" a="1"/>
  <c r="T208" i="2" s="1"/>
  <c r="T209" i="2" a="1"/>
  <c r="T209" i="2" s="1"/>
  <c r="T210" i="2" a="1"/>
  <c r="T210" i="2" s="1"/>
  <c r="T211" i="2" a="1"/>
  <c r="T211" i="2" s="1"/>
  <c r="T212" i="2" a="1"/>
  <c r="T212" i="2" s="1"/>
  <c r="T213" i="2" a="1"/>
  <c r="T213" i="2" s="1"/>
  <c r="T214" i="2" a="1"/>
  <c r="T214" i="2" s="1"/>
  <c r="T215" i="2" a="1"/>
  <c r="T215" i="2" s="1"/>
  <c r="T216" i="2" a="1"/>
  <c r="T216" i="2" s="1"/>
  <c r="T217" i="2" a="1"/>
  <c r="T217" i="2" s="1"/>
  <c r="T218" i="2" a="1"/>
  <c r="T218" i="2" s="1"/>
  <c r="T219" i="2" a="1"/>
  <c r="T219" i="2" s="1"/>
  <c r="T220" i="2" a="1"/>
  <c r="T220" i="2" s="1"/>
  <c r="T221" i="2" a="1"/>
  <c r="T221" i="2" s="1"/>
  <c r="T222" i="2" a="1"/>
  <c r="T222" i="2" s="1"/>
  <c r="T223" i="2" a="1"/>
  <c r="T223" i="2" s="1"/>
  <c r="T224" i="2" a="1"/>
  <c r="T224" i="2" s="1"/>
  <c r="T225" i="2" a="1"/>
  <c r="T225" i="2" s="1"/>
  <c r="T226" i="2" a="1"/>
  <c r="T226" i="2" s="1"/>
  <c r="T227" i="2" a="1"/>
  <c r="T227" i="2" s="1"/>
  <c r="T228" i="2" a="1"/>
  <c r="T228" i="2" s="1"/>
  <c r="T229" i="2" a="1"/>
  <c r="T229" i="2" s="1"/>
  <c r="T230" i="2" a="1"/>
  <c r="T230" i="2" s="1"/>
  <c r="T231" i="2" a="1"/>
  <c r="T231" i="2" s="1"/>
  <c r="T232" i="2" a="1"/>
  <c r="T232" i="2" s="1"/>
  <c r="T233" i="2" a="1"/>
  <c r="T233" i="2" s="1"/>
  <c r="T234" i="2" a="1"/>
  <c r="T234" i="2" s="1"/>
  <c r="T235" i="2" a="1"/>
  <c r="T235" i="2" s="1"/>
  <c r="T236" i="2" a="1"/>
  <c r="T236" i="2" s="1"/>
  <c r="T237" i="2" a="1"/>
  <c r="T237" i="2" s="1"/>
  <c r="T238" i="2" a="1"/>
  <c r="T238" i="2" s="1"/>
  <c r="T239" i="2" a="1"/>
  <c r="T239" i="2" s="1"/>
  <c r="T240" i="2" a="1"/>
  <c r="T240" i="2" s="1"/>
  <c r="T241" i="2" a="1"/>
  <c r="T241" i="2" s="1"/>
  <c r="T242" i="2" a="1"/>
  <c r="T242" i="2" s="1"/>
  <c r="T243" i="2" a="1"/>
  <c r="T243" i="2" s="1"/>
  <c r="T244" i="2" a="1"/>
  <c r="T244" i="2" s="1"/>
  <c r="T245" i="2" a="1"/>
  <c r="T245" i="2" s="1"/>
  <c r="T246" i="2" a="1"/>
  <c r="T246" i="2" s="1"/>
  <c r="T247" i="2" a="1"/>
  <c r="T247" i="2" s="1"/>
  <c r="T248" i="2" a="1"/>
  <c r="T248" i="2" s="1"/>
  <c r="T249" i="2" a="1"/>
  <c r="T249" i="2" s="1"/>
  <c r="T250" i="2" a="1"/>
  <c r="T250" i="2" s="1"/>
  <c r="T251" i="2" a="1"/>
  <c r="T251" i="2" s="1"/>
  <c r="T252" i="2" a="1"/>
  <c r="T252" i="2" s="1"/>
  <c r="T253" i="2" a="1"/>
  <c r="T253" i="2" s="1"/>
  <c r="T254" i="2" a="1"/>
  <c r="T254" i="2" s="1"/>
  <c r="T255" i="2" a="1"/>
  <c r="T255" i="2" s="1"/>
  <c r="T256" i="2" a="1"/>
  <c r="T256" i="2" s="1"/>
  <c r="T257" i="2" a="1"/>
  <c r="T257" i="2" s="1"/>
  <c r="T258" i="2" a="1"/>
  <c r="T258" i="2" s="1"/>
  <c r="T259" i="2" a="1"/>
  <c r="T259" i="2" s="1"/>
  <c r="T260" i="2" a="1"/>
  <c r="T260" i="2" s="1"/>
  <c r="T261" i="2" a="1"/>
  <c r="T261" i="2" s="1"/>
  <c r="T262" i="2" a="1"/>
  <c r="T262" i="2" s="1"/>
  <c r="T263" i="2" a="1"/>
  <c r="T263" i="2" s="1"/>
  <c r="T264" i="2" a="1"/>
  <c r="T264" i="2" s="1"/>
  <c r="T265" i="2" a="1"/>
  <c r="T265" i="2" s="1"/>
  <c r="T266" i="2" a="1"/>
  <c r="T266" i="2" s="1"/>
  <c r="T267" i="2" a="1"/>
  <c r="T267" i="2" s="1"/>
  <c r="T268" i="2" a="1"/>
  <c r="T268" i="2" s="1"/>
  <c r="T269" i="2" a="1"/>
  <c r="T269" i="2" s="1"/>
  <c r="T270" i="2" a="1"/>
  <c r="T270" i="2" s="1"/>
  <c r="T271" i="2" a="1"/>
  <c r="T271" i="2" s="1"/>
  <c r="T272" i="2" a="1"/>
  <c r="T272" i="2" s="1"/>
  <c r="T273" i="2" a="1"/>
  <c r="T273" i="2" s="1"/>
  <c r="T274" i="2" a="1"/>
  <c r="T274" i="2" s="1"/>
  <c r="T275" i="2" a="1"/>
  <c r="T275" i="2" s="1"/>
  <c r="T276" i="2" a="1"/>
  <c r="T276" i="2" s="1"/>
  <c r="T277" i="2" a="1"/>
  <c r="T277" i="2" s="1"/>
  <c r="T278" i="2" a="1"/>
  <c r="T278" i="2" s="1"/>
  <c r="T279" i="2" a="1"/>
  <c r="T279" i="2" s="1"/>
  <c r="T280" i="2" a="1"/>
  <c r="T280" i="2" s="1"/>
  <c r="T281" i="2" a="1"/>
  <c r="T281" i="2" s="1"/>
  <c r="T282" i="2" a="1"/>
  <c r="T282" i="2" s="1"/>
  <c r="T283" i="2" a="1"/>
  <c r="T283" i="2" s="1"/>
  <c r="T284" i="2" a="1"/>
  <c r="T284" i="2" s="1"/>
  <c r="T285" i="2" a="1"/>
  <c r="T285" i="2" s="1"/>
  <c r="T286" i="2" a="1"/>
  <c r="T286" i="2" s="1"/>
  <c r="T287" i="2" a="1"/>
  <c r="T287" i="2" s="1"/>
  <c r="T288" i="2" a="1"/>
  <c r="T288" i="2" s="1"/>
  <c r="T289" i="2" a="1"/>
  <c r="T289" i="2" s="1"/>
  <c r="T290" i="2" a="1"/>
  <c r="T290" i="2" s="1"/>
  <c r="T291" i="2" a="1"/>
  <c r="T291" i="2" s="1"/>
  <c r="T292" i="2" a="1"/>
  <c r="T292" i="2" s="1"/>
  <c r="T293" i="2" a="1"/>
  <c r="T293" i="2" s="1"/>
  <c r="T294" i="2" a="1"/>
  <c r="T294" i="2" s="1"/>
  <c r="T295" i="2" a="1"/>
  <c r="T295" i="2" s="1"/>
  <c r="T296" i="2" a="1"/>
  <c r="T296" i="2" s="1"/>
  <c r="T297" i="2" a="1"/>
  <c r="T297" i="2" s="1"/>
  <c r="T298" i="2" a="1"/>
  <c r="T298" i="2" s="1"/>
  <c r="T299" i="2" a="1"/>
  <c r="T299" i="2" s="1"/>
  <c r="T300" i="2" a="1"/>
  <c r="T300" i="2" s="1"/>
  <c r="T301" i="2" a="1"/>
  <c r="T301" i="2" s="1"/>
  <c r="T302" i="2" a="1"/>
  <c r="T302" i="2" s="1"/>
  <c r="T303" i="2" a="1"/>
  <c r="T303" i="2" s="1"/>
  <c r="T304" i="2" a="1"/>
  <c r="T304" i="2" s="1"/>
  <c r="T305" i="2" a="1"/>
  <c r="T305" i="2" s="1"/>
  <c r="T306" i="2" a="1"/>
  <c r="T306" i="2" s="1"/>
  <c r="T307" i="2" a="1"/>
  <c r="T307" i="2" s="1"/>
  <c r="T308" i="2" a="1"/>
  <c r="T308" i="2" s="1"/>
  <c r="T309" i="2" a="1"/>
  <c r="T309" i="2" s="1"/>
  <c r="T310" i="2" a="1"/>
  <c r="T310" i="2" s="1"/>
  <c r="T311" i="2" a="1"/>
  <c r="T311" i="2" s="1"/>
  <c r="T312" i="2" a="1"/>
  <c r="T312" i="2" s="1"/>
  <c r="T313" i="2" a="1"/>
  <c r="T313" i="2" s="1"/>
  <c r="T314" i="2" a="1"/>
  <c r="T314" i="2" s="1"/>
  <c r="T315" i="2" a="1"/>
  <c r="T315" i="2" s="1"/>
  <c r="T316" i="2" a="1"/>
  <c r="T316" i="2" s="1"/>
  <c r="T317" i="2" a="1"/>
  <c r="T317" i="2" s="1"/>
  <c r="T318" i="2" a="1"/>
  <c r="T318" i="2" s="1"/>
  <c r="T319" i="2" a="1"/>
  <c r="T319" i="2" s="1"/>
  <c r="T320" i="2" a="1"/>
  <c r="T320" i="2" s="1"/>
  <c r="T321" i="2" a="1"/>
  <c r="T321" i="2" s="1"/>
  <c r="T322" i="2" a="1"/>
  <c r="T322" i="2" s="1"/>
  <c r="T323" i="2" a="1"/>
  <c r="T323" i="2" s="1"/>
  <c r="T324" i="2" a="1"/>
  <c r="T324" i="2" s="1"/>
  <c r="T325" i="2" a="1"/>
  <c r="T325" i="2" s="1"/>
  <c r="T326" i="2" a="1"/>
  <c r="T326" i="2" s="1"/>
  <c r="T327" i="2" a="1"/>
  <c r="T327" i="2" s="1"/>
  <c r="T328" i="2" a="1"/>
  <c r="T328" i="2" s="1"/>
  <c r="T329" i="2" a="1"/>
  <c r="T329" i="2" s="1"/>
  <c r="T330" i="2" a="1"/>
  <c r="T330" i="2" s="1"/>
  <c r="T331" i="2" a="1"/>
  <c r="T331" i="2" s="1"/>
  <c r="T332" i="2" a="1"/>
  <c r="T332" i="2" s="1"/>
  <c r="T333" i="2" a="1"/>
  <c r="T333" i="2" s="1"/>
  <c r="T334" i="2" a="1"/>
  <c r="T334" i="2" s="1"/>
  <c r="T335" i="2" a="1"/>
  <c r="T335" i="2" s="1"/>
  <c r="T336" i="2" a="1"/>
  <c r="T336" i="2" s="1"/>
  <c r="T337" i="2" a="1"/>
  <c r="T337" i="2" s="1"/>
  <c r="T338" i="2" a="1"/>
  <c r="T338" i="2" s="1"/>
  <c r="T339" i="2" a="1"/>
  <c r="T339" i="2" s="1"/>
  <c r="T340" i="2" a="1"/>
  <c r="T340" i="2" s="1"/>
  <c r="T341" i="2" a="1"/>
  <c r="T341" i="2" s="1"/>
  <c r="T342" i="2" a="1"/>
  <c r="T342" i="2" s="1"/>
  <c r="T343" i="2" a="1"/>
  <c r="T343" i="2" s="1"/>
  <c r="T344" i="2" a="1"/>
  <c r="T344" i="2" s="1"/>
  <c r="T345" i="2" a="1"/>
  <c r="T345" i="2" s="1"/>
  <c r="T346" i="2" a="1"/>
  <c r="T346" i="2" s="1"/>
  <c r="T347" i="2" a="1"/>
  <c r="T347" i="2" s="1"/>
  <c r="T348" i="2" a="1"/>
  <c r="T348" i="2" s="1"/>
  <c r="T349" i="2" a="1"/>
  <c r="T349" i="2" s="1"/>
  <c r="T350" i="2" a="1"/>
  <c r="T350" i="2" s="1"/>
  <c r="T351" i="2" a="1"/>
  <c r="T351" i="2"/>
  <c r="T352" i="2" a="1"/>
  <c r="T352" i="2" s="1"/>
  <c r="T353" i="2" a="1"/>
  <c r="T353" i="2"/>
  <c r="T354" i="2" a="1"/>
  <c r="T354" i="2" s="1"/>
  <c r="T355" i="2" a="1"/>
  <c r="T355" i="2"/>
  <c r="T356" i="2" a="1"/>
  <c r="T356" i="2" s="1"/>
  <c r="T357" i="2" a="1"/>
  <c r="T357" i="2"/>
  <c r="T358" i="2" a="1"/>
  <c r="T358" i="2" s="1"/>
  <c r="T359" i="2" a="1"/>
  <c r="T359" i="2" s="1"/>
  <c r="T360" i="2" a="1"/>
  <c r="T360" i="2" s="1"/>
  <c r="T361" i="2" a="1"/>
  <c r="T361" i="2" s="1"/>
  <c r="T362" i="2" a="1"/>
  <c r="T362" i="2" s="1"/>
  <c r="T363" i="2" a="1"/>
  <c r="T363" i="2" s="1"/>
  <c r="T364" i="2" a="1"/>
  <c r="T364" i="2" s="1"/>
  <c r="T365" i="2" a="1"/>
  <c r="T365" i="2" s="1"/>
  <c r="T366" i="2" a="1"/>
  <c r="T366" i="2" s="1"/>
  <c r="T367" i="2" a="1"/>
  <c r="T367" i="2" s="1"/>
  <c r="T368" i="2" a="1"/>
  <c r="T368" i="2" s="1"/>
  <c r="T369" i="2" a="1"/>
  <c r="T369" i="2" s="1"/>
  <c r="T370" i="2" a="1"/>
  <c r="T370" i="2" s="1"/>
  <c r="T371" i="2" a="1"/>
  <c r="T371" i="2" s="1"/>
  <c r="T372" i="2" a="1"/>
  <c r="T372" i="2" s="1"/>
  <c r="T373" i="2" a="1"/>
  <c r="T373" i="2" s="1"/>
  <c r="T374" i="2" a="1"/>
  <c r="T374" i="2" s="1"/>
  <c r="T375" i="2" a="1"/>
  <c r="T375" i="2" s="1"/>
  <c r="T376" i="2" a="1"/>
  <c r="T376" i="2" s="1"/>
  <c r="T377" i="2" a="1"/>
  <c r="T377" i="2" s="1"/>
  <c r="T378" i="2" a="1"/>
  <c r="T378" i="2" s="1"/>
  <c r="T379" i="2" a="1"/>
  <c r="T379" i="2" s="1"/>
  <c r="T380" i="2" a="1"/>
  <c r="T380" i="2" s="1"/>
  <c r="T381" i="2" a="1"/>
  <c r="T381" i="2" s="1"/>
  <c r="T382" i="2" a="1"/>
  <c r="T382" i="2" s="1"/>
  <c r="T383" i="2" a="1"/>
  <c r="T383" i="2"/>
  <c r="T384" i="2" a="1"/>
  <c r="T384" i="2" s="1"/>
  <c r="T385" i="2" a="1"/>
  <c r="T385" i="2" s="1"/>
  <c r="T386" i="2" a="1"/>
  <c r="T386" i="2" s="1"/>
  <c r="T387" i="2" a="1"/>
  <c r="T387" i="2" s="1"/>
  <c r="T388" i="2" a="1"/>
  <c r="T388" i="2" s="1"/>
  <c r="T389" i="2" a="1"/>
  <c r="T389" i="2"/>
  <c r="T390" i="2" a="1"/>
  <c r="T390" i="2" s="1"/>
  <c r="T391" i="2" a="1"/>
  <c r="T391" i="2" s="1"/>
  <c r="T392" i="2" a="1"/>
  <c r="T392" i="2" s="1"/>
  <c r="T393" i="2" a="1"/>
  <c r="T393" i="2"/>
  <c r="T394" i="2" a="1"/>
  <c r="T394" i="2" s="1"/>
  <c r="T395" i="2" a="1"/>
  <c r="T395" i="2" s="1"/>
  <c r="T396" i="2" a="1"/>
  <c r="T396" i="2" s="1"/>
  <c r="T397" i="2" a="1"/>
  <c r="T397" i="2" s="1"/>
  <c r="T398" i="2" a="1"/>
  <c r="T398" i="2" s="1"/>
  <c r="T399" i="2" a="1"/>
  <c r="T399" i="2"/>
  <c r="T400" i="2" a="1"/>
  <c r="T400" i="2" s="1"/>
  <c r="T401" i="2" a="1"/>
  <c r="T401" i="2" s="1"/>
  <c r="T402" i="2" a="1"/>
  <c r="T402" i="2" s="1"/>
  <c r="T403" i="2" a="1"/>
  <c r="T403" i="2" s="1"/>
  <c r="T404" i="2" a="1"/>
  <c r="T404" i="2" s="1"/>
  <c r="T405" i="2" a="1"/>
  <c r="T405" i="2" s="1"/>
  <c r="T406" i="2" a="1"/>
  <c r="T406" i="2" s="1"/>
  <c r="T407" i="2" a="1"/>
  <c r="T407" i="2"/>
  <c r="T408" i="2" a="1"/>
  <c r="T408" i="2" s="1"/>
  <c r="T409" i="2" a="1"/>
  <c r="T409" i="2" s="1"/>
  <c r="T410" i="2" a="1"/>
  <c r="T410" i="2" s="1"/>
  <c r="T411" i="2" a="1"/>
  <c r="T411" i="2" s="1"/>
  <c r="T412" i="2" a="1"/>
  <c r="T412" i="2" s="1"/>
  <c r="T413" i="2" a="1"/>
  <c r="T413" i="2"/>
  <c r="T414" i="2" a="1"/>
  <c r="T414" i="2" s="1"/>
  <c r="T415" i="2" a="1"/>
  <c r="T415" i="2" s="1"/>
  <c r="T416" i="2" a="1"/>
  <c r="T416" i="2" s="1"/>
  <c r="T417" i="2" a="1"/>
  <c r="T417" i="2"/>
  <c r="T418" i="2" a="1"/>
  <c r="T418" i="2" s="1"/>
  <c r="T419" i="2" a="1"/>
  <c r="T419" i="2" s="1"/>
  <c r="T420" i="2" a="1"/>
  <c r="T420" i="2" s="1"/>
  <c r="T421" i="2" a="1"/>
  <c r="T421" i="2" s="1"/>
  <c r="T422" i="2" a="1"/>
  <c r="T422" i="2" s="1"/>
  <c r="T423" i="2" a="1"/>
  <c r="T423" i="2"/>
  <c r="T424" i="2" a="1"/>
  <c r="T424" i="2" s="1"/>
  <c r="T425" i="2" a="1"/>
  <c r="T425" i="2" s="1"/>
  <c r="T426" i="2" a="1"/>
  <c r="T426" i="2" s="1"/>
  <c r="T427" i="2" a="1"/>
  <c r="T427" i="2" s="1"/>
  <c r="T428" i="2" a="1"/>
  <c r="T428" i="2" s="1"/>
  <c r="T429" i="2" a="1"/>
  <c r="T429" i="2"/>
  <c r="T430" i="2" a="1"/>
  <c r="T430" i="2" s="1"/>
  <c r="T431" i="2" a="1"/>
  <c r="T431" i="2" s="1"/>
  <c r="T432" i="2" a="1"/>
  <c r="T432" i="2" s="1"/>
  <c r="T433" i="2" a="1"/>
  <c r="T433" i="2"/>
  <c r="T434" i="2" a="1"/>
  <c r="T434" i="2" s="1"/>
  <c r="T435" i="2" a="1"/>
  <c r="T435" i="2" s="1"/>
  <c r="T436" i="2" a="1"/>
  <c r="T436" i="2" s="1"/>
  <c r="T437" i="2" a="1"/>
  <c r="T437" i="2" s="1"/>
  <c r="T438" i="2" a="1"/>
  <c r="T438" i="2" s="1"/>
  <c r="T439" i="2" a="1"/>
  <c r="T439" i="2" s="1"/>
  <c r="T440" i="2" a="1"/>
  <c r="T440" i="2" s="1"/>
  <c r="T441" i="2" a="1"/>
  <c r="T441" i="2"/>
  <c r="T442" i="2" a="1"/>
  <c r="T442" i="2" s="1"/>
  <c r="T443" i="2" a="1"/>
  <c r="T443" i="2" s="1"/>
  <c r="T444" i="2" a="1"/>
  <c r="T444" i="2" s="1"/>
  <c r="T445" i="2" a="1"/>
  <c r="T445" i="2" s="1"/>
  <c r="T446" i="2" a="1"/>
  <c r="T446" i="2" s="1"/>
  <c r="T447" i="2" a="1"/>
  <c r="T447" i="2"/>
  <c r="T448" i="2" a="1"/>
  <c r="T448" i="2" s="1"/>
  <c r="T449" i="2" a="1"/>
  <c r="T449" i="2" s="1"/>
  <c r="T450" i="2" a="1"/>
  <c r="T450" i="2" s="1"/>
  <c r="T451" i="2" a="1"/>
  <c r="T451" i="2" s="1"/>
  <c r="T452" i="2" a="1"/>
  <c r="T452" i="2" s="1"/>
  <c r="T453" i="2" a="1"/>
  <c r="T453" i="2"/>
  <c r="T454" i="2" a="1"/>
  <c r="T454" i="2" s="1"/>
  <c r="T455" i="2" a="1"/>
  <c r="T455" i="2" s="1"/>
  <c r="T456" i="2" a="1"/>
  <c r="T456" i="2" s="1"/>
  <c r="T457" i="2" a="1"/>
  <c r="T457" i="2"/>
  <c r="T458" i="2" a="1"/>
  <c r="T458" i="2" s="1"/>
  <c r="T459" i="2" a="1"/>
  <c r="T459" i="2" s="1"/>
  <c r="T460" i="2" a="1"/>
  <c r="T460" i="2" s="1"/>
  <c r="T461" i="2" a="1"/>
  <c r="T461" i="2" s="1"/>
  <c r="T462" i="2" a="1"/>
  <c r="T462" i="2" s="1"/>
  <c r="T463" i="2" a="1"/>
  <c r="T463" i="2"/>
  <c r="T464" i="2" a="1"/>
  <c r="T464" i="2" s="1"/>
  <c r="T465" i="2" a="1"/>
  <c r="T465" i="2" s="1"/>
  <c r="T466" i="2" a="1"/>
  <c r="T466" i="2" s="1"/>
  <c r="T467" i="2" a="1"/>
  <c r="T467" i="2" s="1"/>
  <c r="T468" i="2" a="1"/>
  <c r="T468" i="2" s="1"/>
  <c r="T469" i="2" a="1"/>
  <c r="T469" i="2" s="1"/>
  <c r="T470" i="2" a="1"/>
  <c r="T470" i="2" s="1"/>
  <c r="T471" i="2" a="1"/>
  <c r="T471" i="2"/>
  <c r="T472" i="2" a="1"/>
  <c r="T472" i="2" s="1"/>
  <c r="T473" i="2" a="1"/>
  <c r="T473" i="2" s="1"/>
  <c r="T474" i="2" a="1"/>
  <c r="T474" i="2" s="1"/>
  <c r="T475" i="2" a="1"/>
  <c r="T475" i="2" s="1"/>
  <c r="T476" i="2" a="1"/>
  <c r="T476" i="2" s="1"/>
  <c r="T477" i="2" a="1"/>
  <c r="T477" i="2" s="1"/>
  <c r="T478" i="2" a="1"/>
  <c r="T478" i="2" s="1"/>
  <c r="T479" i="2" a="1"/>
  <c r="T479" i="2"/>
  <c r="T480" i="2" a="1"/>
  <c r="T480" i="2" s="1"/>
  <c r="T481" i="2" a="1"/>
  <c r="T481" i="2" s="1"/>
  <c r="T482" i="2" a="1"/>
  <c r="T482" i="2" s="1"/>
  <c r="T483" i="2" a="1"/>
  <c r="T483" i="2" s="1"/>
  <c r="T484" i="2" a="1"/>
  <c r="T484" i="2" s="1"/>
  <c r="T485" i="2" a="1"/>
  <c r="T485" i="2" s="1"/>
  <c r="T486" i="2" a="1"/>
  <c r="T486" i="2" s="1"/>
  <c r="T487" i="2" a="1"/>
  <c r="T487" i="2" s="1"/>
  <c r="T488" i="2" a="1"/>
  <c r="T488" i="2" s="1"/>
  <c r="T489" i="2" a="1"/>
  <c r="T489" i="2" s="1"/>
  <c r="T490" i="2" a="1"/>
  <c r="T490" i="2" s="1"/>
  <c r="T491" i="2" a="1"/>
  <c r="T491" i="2" s="1"/>
  <c r="T492" i="2" a="1"/>
  <c r="T492" i="2" s="1"/>
  <c r="T493" i="2" a="1"/>
  <c r="T493" i="2"/>
  <c r="T494" i="2" a="1"/>
  <c r="T494" i="2" s="1"/>
  <c r="T495" i="2" a="1"/>
  <c r="T495" i="2" s="1"/>
  <c r="T496" i="2" a="1"/>
  <c r="T496" i="2" s="1"/>
  <c r="T497" i="2" a="1"/>
  <c r="T497" i="2" s="1"/>
  <c r="T498" i="2" a="1"/>
  <c r="T498" i="2" s="1"/>
  <c r="T499" i="2" a="1"/>
  <c r="T499" i="2" s="1"/>
  <c r="T500" i="2" a="1"/>
  <c r="T500" i="2" s="1"/>
  <c r="T501" i="2" a="1"/>
  <c r="T501" i="2" s="1"/>
  <c r="T502" i="2" a="1"/>
  <c r="T502" i="2" s="1"/>
  <c r="T503" i="2" a="1"/>
  <c r="T503" i="2"/>
  <c r="T504" i="2" a="1"/>
  <c r="T504" i="2" s="1"/>
  <c r="T505" i="2" a="1"/>
  <c r="T505" i="2" s="1"/>
  <c r="T506" i="2" a="1"/>
  <c r="T506" i="2" s="1"/>
  <c r="T507" i="2" a="1"/>
  <c r="T507" i="2" s="1"/>
  <c r="T508" i="2" a="1"/>
  <c r="T508" i="2" s="1"/>
  <c r="T509" i="2" a="1"/>
  <c r="T509" i="2" s="1"/>
  <c r="T510" i="2" a="1"/>
  <c r="T510" i="2" s="1"/>
  <c r="T511" i="2" a="1"/>
  <c r="T511" i="2"/>
  <c r="T512" i="2" a="1"/>
  <c r="T512" i="2" s="1"/>
  <c r="T513" i="2" a="1"/>
  <c r="T513" i="2" s="1"/>
  <c r="T514" i="2" a="1"/>
  <c r="T514" i="2" s="1"/>
  <c r="T515" i="2" a="1"/>
  <c r="T515" i="2" s="1"/>
  <c r="T516" i="2" a="1"/>
  <c r="T516" i="2" s="1"/>
  <c r="T517" i="2" a="1"/>
  <c r="T517" i="2" s="1"/>
  <c r="T518" i="2" a="1"/>
  <c r="T518" i="2" s="1"/>
  <c r="T519" i="2" a="1"/>
  <c r="T519" i="2" s="1"/>
  <c r="T520" i="2" a="1"/>
  <c r="T520" i="2" s="1"/>
  <c r="T521" i="2" a="1"/>
  <c r="T521" i="2" s="1"/>
  <c r="T522" i="2" a="1"/>
  <c r="T522" i="2" s="1"/>
  <c r="T523" i="2" a="1"/>
  <c r="T523" i="2" s="1"/>
  <c r="T524" i="2" a="1"/>
  <c r="T524" i="2" s="1"/>
  <c r="T525" i="2" a="1"/>
  <c r="T525" i="2"/>
  <c r="T526" i="2" a="1"/>
  <c r="T526" i="2" s="1"/>
  <c r="T527" i="2" a="1"/>
  <c r="T527" i="2" s="1"/>
  <c r="T528" i="2" a="1"/>
  <c r="T528" i="2" s="1"/>
  <c r="T529" i="2" a="1"/>
  <c r="T529" i="2" s="1"/>
  <c r="T530" i="2" a="1"/>
  <c r="T530" i="2" s="1"/>
  <c r="T531" i="2" a="1"/>
  <c r="T531" i="2" s="1"/>
  <c r="T532" i="2" a="1"/>
  <c r="T532" i="2" s="1"/>
  <c r="T533" i="2" a="1"/>
  <c r="T533" i="2" s="1"/>
  <c r="T534" i="2" a="1"/>
  <c r="T534" i="2" s="1"/>
  <c r="T535" i="2" a="1"/>
  <c r="T535" i="2"/>
  <c r="T536" i="2" a="1"/>
  <c r="T536" i="2" s="1"/>
  <c r="T537" i="2" a="1"/>
  <c r="T537" i="2" s="1"/>
  <c r="T538" i="2" a="1"/>
  <c r="T538" i="2" s="1"/>
  <c r="T539" i="2" a="1"/>
  <c r="T539" i="2" s="1"/>
  <c r="T540" i="2" a="1"/>
  <c r="T540" i="2" s="1"/>
  <c r="T541" i="2" a="1"/>
  <c r="T541" i="2" s="1"/>
  <c r="T542" i="2" a="1"/>
  <c r="T542" i="2" s="1"/>
  <c r="T543" i="2" a="1"/>
  <c r="T543" i="2"/>
  <c r="T544" i="2" a="1"/>
  <c r="T544" i="2" s="1"/>
  <c r="T545" i="2" a="1"/>
  <c r="T545" i="2" s="1"/>
  <c r="T546" i="2" a="1"/>
  <c r="T546" i="2" s="1"/>
  <c r="T547" i="2" a="1"/>
  <c r="T547" i="2" s="1"/>
  <c r="T548" i="2" a="1"/>
  <c r="T548" i="2" s="1"/>
  <c r="T549" i="2" a="1"/>
  <c r="T549" i="2" s="1"/>
  <c r="T550" i="2" a="1"/>
  <c r="T550" i="2" s="1"/>
  <c r="T551" i="2" a="1"/>
  <c r="T551" i="2" s="1"/>
  <c r="T552" i="2" a="1"/>
  <c r="T552" i="2" s="1"/>
  <c r="T553" i="2" a="1"/>
  <c r="T553" i="2"/>
  <c r="T554" i="2" a="1"/>
  <c r="T554" i="2" s="1"/>
  <c r="T555" i="2" a="1"/>
  <c r="T555" i="2" s="1"/>
  <c r="T556" i="2" a="1"/>
  <c r="T556" i="2" s="1"/>
  <c r="T557" i="2" a="1"/>
  <c r="T557" i="2"/>
  <c r="T558" i="2" a="1"/>
  <c r="T558" i="2" s="1"/>
  <c r="T559" i="2" a="1"/>
  <c r="T559" i="2" s="1"/>
  <c r="T560" i="2" a="1"/>
  <c r="T560" i="2" s="1"/>
  <c r="T561" i="2" a="1"/>
  <c r="T561" i="2"/>
  <c r="T562" i="2" a="1"/>
  <c r="T562" i="2" s="1"/>
  <c r="T563" i="2" a="1"/>
  <c r="T563" i="2" s="1"/>
  <c r="T564" i="2" a="1"/>
  <c r="T564" i="2" s="1"/>
  <c r="T565" i="2" a="1"/>
  <c r="T565" i="2"/>
  <c r="T566" i="2" a="1"/>
  <c r="T566" i="2" s="1"/>
  <c r="T567" i="2" a="1"/>
  <c r="T567" i="2" s="1"/>
  <c r="T568" i="2" a="1"/>
  <c r="T568" i="2" s="1"/>
  <c r="T569" i="2" a="1"/>
  <c r="T569" i="2"/>
  <c r="T570" i="2" a="1"/>
  <c r="T570" i="2" s="1"/>
  <c r="T571" i="2" a="1"/>
  <c r="T571" i="2" s="1"/>
  <c r="T572" i="2" a="1"/>
  <c r="T572" i="2" s="1"/>
  <c r="T573" i="2" a="1"/>
  <c r="T573" i="2" s="1"/>
  <c r="T574" i="2" a="1"/>
  <c r="T574" i="2" s="1"/>
  <c r="T575" i="2" a="1"/>
  <c r="T575" i="2"/>
  <c r="T576" i="2" a="1"/>
  <c r="T576" i="2" s="1"/>
  <c r="T577" i="2" a="1"/>
  <c r="T577" i="2" s="1"/>
  <c r="T578" i="2" a="1"/>
  <c r="T578" i="2" s="1"/>
  <c r="T579" i="2" a="1"/>
  <c r="T579" i="2"/>
  <c r="T580" i="2" a="1"/>
  <c r="T580" i="2" s="1"/>
  <c r="T581" i="2" a="1"/>
  <c r="T581" i="2" s="1"/>
  <c r="T582" i="2" a="1"/>
  <c r="T582" i="2" s="1"/>
  <c r="T583" i="2" a="1"/>
  <c r="T583" i="2" s="1"/>
  <c r="T584" i="2" a="1"/>
  <c r="T584" i="2" s="1"/>
  <c r="T585" i="2" a="1"/>
  <c r="T585" i="2"/>
  <c r="T586" i="2" a="1"/>
  <c r="T586" i="2" s="1"/>
  <c r="T587" i="2" a="1"/>
  <c r="T587" i="2" s="1"/>
  <c r="T588" i="2" a="1"/>
  <c r="T588" i="2" s="1"/>
  <c r="T589" i="2" a="1"/>
  <c r="T589" i="2" s="1"/>
  <c r="T590" i="2" a="1"/>
  <c r="T590" i="2" s="1"/>
  <c r="T591" i="2" a="1"/>
  <c r="T591" i="2"/>
  <c r="T592" i="2" a="1"/>
  <c r="T592" i="2" s="1"/>
  <c r="T593" i="2" a="1"/>
  <c r="T593" i="2" s="1"/>
  <c r="T594" i="2" a="1"/>
  <c r="T594" i="2" s="1"/>
  <c r="T595" i="2" a="1"/>
  <c r="T595" i="2"/>
  <c r="T596" i="2" a="1"/>
  <c r="T596" i="2" s="1"/>
  <c r="T597" i="2" a="1"/>
  <c r="T597" i="2" s="1"/>
  <c r="T598" i="2" a="1"/>
  <c r="T598" i="2" s="1"/>
  <c r="T599" i="2" a="1"/>
  <c r="T599" i="2" s="1"/>
  <c r="T600" i="2" a="1"/>
  <c r="T600" i="2" s="1"/>
  <c r="T601" i="2" a="1"/>
  <c r="T601" i="2"/>
  <c r="T602" i="2" a="1"/>
  <c r="T602" i="2" s="1"/>
  <c r="T603" i="2" a="1"/>
  <c r="T603" i="2" s="1"/>
  <c r="T604" i="2" a="1"/>
  <c r="T604" i="2" s="1"/>
  <c r="T605" i="2" a="1"/>
  <c r="T605" i="2" s="1"/>
  <c r="T606" i="2" a="1"/>
  <c r="T606" i="2" s="1"/>
  <c r="T607" i="2" a="1"/>
  <c r="T607" i="2"/>
  <c r="T608" i="2" a="1"/>
  <c r="T608" i="2" s="1"/>
  <c r="T609" i="2" a="1"/>
  <c r="T609" i="2" s="1"/>
  <c r="T610" i="2" a="1"/>
  <c r="T610" i="2" s="1"/>
  <c r="T611" i="2" a="1"/>
  <c r="T611" i="2"/>
  <c r="T612" i="2" a="1"/>
  <c r="T612" i="2" s="1"/>
  <c r="T613" i="2" a="1"/>
  <c r="T613" i="2" s="1"/>
  <c r="T614" i="2" a="1"/>
  <c r="T614" i="2" s="1"/>
  <c r="T615" i="2" a="1"/>
  <c r="T615" i="2" s="1"/>
  <c r="T616" i="2" a="1"/>
  <c r="T616" i="2" s="1"/>
  <c r="T617" i="2" a="1"/>
  <c r="T617" i="2"/>
  <c r="T618" i="2" a="1"/>
  <c r="T618" i="2" s="1"/>
  <c r="T619" i="2" a="1"/>
  <c r="T619" i="2"/>
  <c r="T620" i="2" a="1"/>
  <c r="T620" i="2" s="1"/>
  <c r="T621" i="2" a="1"/>
  <c r="T621" i="2" s="1"/>
  <c r="T622" i="2" a="1"/>
  <c r="T622" i="2" s="1"/>
  <c r="T623" i="2" a="1"/>
  <c r="T623" i="2"/>
  <c r="T624" i="2" a="1"/>
  <c r="T624" i="2" s="1"/>
  <c r="T625" i="2" a="1"/>
  <c r="T625" i="2"/>
  <c r="T626" i="2" a="1"/>
  <c r="T626" i="2" s="1"/>
  <c r="T627" i="2" a="1"/>
  <c r="T627" i="2"/>
  <c r="T628" i="2" a="1"/>
  <c r="T628" i="2" s="1"/>
  <c r="T629" i="2" a="1"/>
  <c r="T629" i="2" s="1"/>
  <c r="T630" i="2" a="1"/>
  <c r="T630" i="2" s="1"/>
  <c r="T631" i="2" a="1"/>
  <c r="T631" i="2"/>
  <c r="T632" i="2" a="1"/>
  <c r="T632" i="2" s="1"/>
  <c r="T633" i="2" a="1"/>
  <c r="T633" i="2"/>
  <c r="T634" i="2" a="1"/>
  <c r="T634" i="2" s="1"/>
  <c r="T635" i="2" a="1"/>
  <c r="T635" i="2" s="1"/>
  <c r="T636" i="2" a="1"/>
  <c r="T636" i="2" s="1"/>
  <c r="T637" i="2" a="1"/>
  <c r="T637" i="2" s="1"/>
  <c r="T638" i="2" a="1"/>
  <c r="T638" i="2" s="1"/>
  <c r="T639" i="2" a="1"/>
  <c r="T639" i="2"/>
  <c r="T640" i="2" a="1"/>
  <c r="T640" i="2" s="1"/>
  <c r="T641" i="2" a="1"/>
  <c r="T641" i="2" s="1"/>
  <c r="T642" i="2" a="1"/>
  <c r="T642" i="2" s="1"/>
  <c r="T643" i="2" a="1"/>
  <c r="T643" i="2"/>
  <c r="T644" i="2" a="1"/>
  <c r="T644" i="2" s="1"/>
  <c r="T645" i="2" a="1"/>
  <c r="T645" i="2" s="1"/>
  <c r="T646" i="2" a="1"/>
  <c r="T646" i="2" s="1"/>
  <c r="T647" i="2" a="1"/>
  <c r="T647" i="2" s="1"/>
  <c r="T648" i="2" a="1"/>
  <c r="T648" i="2" s="1"/>
  <c r="T649" i="2" a="1"/>
  <c r="T649" i="2"/>
  <c r="T650" i="2" a="1"/>
  <c r="T650" i="2" s="1"/>
  <c r="T651" i="2" a="1"/>
  <c r="T651" i="2"/>
  <c r="T652" i="2" a="1"/>
  <c r="T652" i="2" s="1"/>
  <c r="T653" i="2" a="1"/>
  <c r="T653" i="2" s="1"/>
  <c r="T654" i="2" a="1"/>
  <c r="T654" i="2" s="1"/>
  <c r="T655" i="2" a="1"/>
  <c r="T655" i="2"/>
  <c r="T656" i="2" a="1"/>
  <c r="T656" i="2" s="1"/>
  <c r="T657" i="2" a="1"/>
  <c r="T657" i="2"/>
  <c r="T658" i="2" a="1"/>
  <c r="T658" i="2" s="1"/>
  <c r="T659" i="2" a="1"/>
  <c r="T659" i="2"/>
  <c r="T660" i="2" a="1"/>
  <c r="T660" i="2" s="1"/>
  <c r="T661" i="2" a="1"/>
  <c r="T661" i="2" s="1"/>
  <c r="T662" i="2" a="1"/>
  <c r="T662" i="2" s="1"/>
  <c r="T663" i="2" a="1"/>
  <c r="T663" i="2"/>
  <c r="T664" i="2" a="1"/>
  <c r="T664" i="2" s="1"/>
  <c r="T665" i="2" a="1"/>
  <c r="T665" i="2"/>
  <c r="T666" i="2" a="1"/>
  <c r="T666" i="2" s="1"/>
  <c r="T667" i="2" a="1"/>
  <c r="T667" i="2" s="1"/>
  <c r="T668" i="2" a="1"/>
  <c r="T668" i="2" s="1"/>
  <c r="T669" i="2" a="1"/>
  <c r="T669" i="2" s="1"/>
  <c r="T670" i="2" a="1"/>
  <c r="T670" i="2" s="1"/>
  <c r="T671" i="2" a="1"/>
  <c r="T671" i="2"/>
  <c r="T672" i="2" a="1"/>
  <c r="T672" i="2" s="1"/>
  <c r="T673" i="2" a="1"/>
  <c r="T673" i="2" s="1"/>
  <c r="T674" i="2" a="1"/>
  <c r="T674" i="2" s="1"/>
  <c r="T675" i="2" a="1"/>
  <c r="T675" i="2"/>
  <c r="T676" i="2" a="1"/>
  <c r="T676" i="2" s="1"/>
  <c r="T677" i="2" a="1"/>
  <c r="T677" i="2" s="1"/>
  <c r="T678" i="2" a="1"/>
  <c r="T678" i="2" s="1"/>
  <c r="T679" i="2" a="1"/>
  <c r="T679" i="2" s="1"/>
  <c r="T680" i="2" a="1"/>
  <c r="T680" i="2"/>
  <c r="T681" i="2" a="1"/>
  <c r="T681" i="2" s="1"/>
  <c r="T682" i="2" a="1"/>
  <c r="T682" i="2"/>
  <c r="T683" i="2" a="1"/>
  <c r="T683" i="2" s="1"/>
  <c r="T684" i="2" a="1"/>
  <c r="T684" i="2"/>
  <c r="T685" i="2" a="1"/>
  <c r="T685" i="2" s="1"/>
  <c r="T686" i="2" a="1"/>
  <c r="T686" i="2"/>
  <c r="T687" i="2" a="1"/>
  <c r="T687" i="2" s="1"/>
  <c r="T688" i="2" a="1"/>
  <c r="T688" i="2"/>
  <c r="T689" i="2" a="1"/>
  <c r="T689" i="2" s="1"/>
  <c r="T690" i="2" a="1"/>
  <c r="T690" i="2"/>
  <c r="T691" i="2" a="1"/>
  <c r="T691" i="2" s="1"/>
  <c r="T692" i="2" a="1"/>
  <c r="T692" i="2"/>
  <c r="T693" i="2" a="1"/>
  <c r="T693" i="2" s="1"/>
  <c r="T694" i="2" a="1"/>
  <c r="T694" i="2"/>
  <c r="T695" i="2" a="1"/>
  <c r="T695" i="2" s="1"/>
  <c r="T696" i="2" a="1"/>
  <c r="T696" i="2"/>
  <c r="T697" i="2" a="1"/>
  <c r="T697" i="2" s="1"/>
  <c r="T698" i="2" a="1"/>
  <c r="T698" i="2"/>
  <c r="T699" i="2" a="1"/>
  <c r="T699" i="2" s="1"/>
  <c r="T700" i="2" a="1"/>
  <c r="T700" i="2"/>
  <c r="T701" i="2" a="1"/>
  <c r="T701" i="2" s="1"/>
  <c r="AO9" i="1"/>
  <c r="AM12" i="1"/>
  <c r="AO11" i="1"/>
  <c r="AM7" i="1"/>
  <c r="AO8" i="1"/>
  <c r="AM8" i="1"/>
  <c r="AM10" i="1"/>
  <c r="AO7" i="1"/>
  <c r="AO10" i="1"/>
  <c r="AM11" i="1"/>
  <c r="AM9" i="1"/>
  <c r="AO12" i="1"/>
  <c r="C14" i="12"/>
  <c r="C18" i="12"/>
  <c r="C15" i="12"/>
  <c r="C19" i="12"/>
  <c r="C16" i="12"/>
  <c r="C17" i="12"/>
  <c r="AM18" i="1" l="1"/>
  <c r="AP9" i="1"/>
  <c r="AQ9" i="1"/>
  <c r="AP7" i="1"/>
  <c r="AQ7" i="1"/>
  <c r="AQ12" i="1"/>
  <c r="AP12" i="1"/>
  <c r="AQ11" i="1"/>
  <c r="AP11" i="1"/>
  <c r="AQ8" i="1"/>
  <c r="AP8" i="1"/>
  <c r="AP10" i="1"/>
  <c r="AQ10" i="1"/>
  <c r="D17" i="12"/>
  <c r="E19" i="12"/>
  <c r="E18" i="12"/>
  <c r="E17" i="12"/>
  <c r="D19" i="12"/>
  <c r="D18" i="12"/>
  <c r="D16" i="12"/>
  <c r="E15" i="12"/>
  <c r="E14" i="12"/>
  <c r="E16" i="12"/>
  <c r="D15" i="12"/>
  <c r="D14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13DF2F-DDD6-46F7-A224-0714842119DD}" keepAlive="1" name="Query - data" description="Connection to the 'data' query in the workbook." type="5" refreshedVersion="7" background="1" saveData="1">
    <dbPr connection="Provider=Microsoft.Mashup.OleDb.1;Data Source=$Workbook$;Location=data;Extended Properties=&quot;&quot;" command="SELECT * FROM [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<sst xmlns="http://schemas.openxmlformats.org/spreadsheetml/2006/main" count="4427" uniqueCount="97">
  <si>
    <t>Id</t>
  </si>
  <si>
    <t>Segment</t>
  </si>
  <si>
    <t>Country</t>
  </si>
  <si>
    <t>Product</t>
  </si>
  <si>
    <t>Discount Band</t>
  </si>
  <si>
    <t>Units Sold</t>
  </si>
  <si>
    <t>Manufacturing Price</t>
  </si>
  <si>
    <t>Sale Price</t>
  </si>
  <si>
    <t>Discounts</t>
  </si>
  <si>
    <t>COGS</t>
  </si>
  <si>
    <t>Date</t>
  </si>
  <si>
    <t>Month Number</t>
  </si>
  <si>
    <t>Month Name</t>
  </si>
  <si>
    <t>Year</t>
  </si>
  <si>
    <t>Gross Sales</t>
  </si>
  <si>
    <t>Net Sales</t>
  </si>
  <si>
    <t>Profits</t>
  </si>
  <si>
    <t>Profit Margin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</si>
  <si>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</si>
  <si>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</si>
  <si>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</si>
  <si>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</si>
  <si>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</si>
  <si>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</si>
  <si>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</si>
  <si>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</si>
  <si>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</si>
  <si>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</si>
  <si>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</si>
  <si>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</si>
  <si>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</si>
  <si>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</si>
  <si>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</si>
  <si>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</si>
  <si>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</si>
  <si>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</si>
  <si>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</si>
  <si>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</si>
  <si>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</si>
  <si>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</si>
  <si>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</si>
  <si>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</si>
  <si>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</si>
  <si>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</si>
  <si>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</si>
  <si>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</si>
  <si>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</si>
  <si>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</si>
  <si>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</si>
  <si>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</si>
  <si>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Sum of Net Sales</t>
  </si>
  <si>
    <t>Sum of Profits</t>
  </si>
  <si>
    <t>Sum of PM</t>
  </si>
  <si>
    <t>Net Sale</t>
  </si>
  <si>
    <t>Profit</t>
  </si>
  <si>
    <t>Monthly Trends</t>
  </si>
  <si>
    <t xml:space="preserve">Segment </t>
  </si>
  <si>
    <t>Products</t>
  </si>
  <si>
    <t>Regional</t>
  </si>
  <si>
    <t>Discount Bands</t>
  </si>
  <si>
    <t xml:space="preserve"> </t>
  </si>
  <si>
    <t>Sum of Units Sold</t>
  </si>
  <si>
    <t>Volume vs Profitability Tradeoffs</t>
  </si>
  <si>
    <t>KPIs</t>
  </si>
  <si>
    <t>Sales</t>
  </si>
  <si>
    <t>6 Months Revenue Forecast</t>
  </si>
  <si>
    <t>Conf. Level</t>
  </si>
  <si>
    <t>Upper Bounds</t>
  </si>
  <si>
    <t>Lower Bounds</t>
  </si>
  <si>
    <t>Seasonality</t>
  </si>
  <si>
    <t>Segment Margin</t>
  </si>
  <si>
    <t>Profit Band</t>
  </si>
  <si>
    <t>Negative</t>
  </si>
  <si>
    <t>High-margin vs low-margin products</t>
  </si>
  <si>
    <t>Forecast(Net Sale)</t>
  </si>
  <si>
    <t>Lower Confidence Bound(Net Sale)</t>
  </si>
  <si>
    <t>Upper Confidence Bound(Net Sale)</t>
  </si>
  <si>
    <t>Jan</t>
  </si>
  <si>
    <t>Jun</t>
  </si>
  <si>
    <t>Dec</t>
  </si>
  <si>
    <t>Mar</t>
  </si>
  <si>
    <t>Jul</t>
  </si>
  <si>
    <t>Aug</t>
  </si>
  <si>
    <t>Sep</t>
  </si>
  <si>
    <t>Oct</t>
  </si>
  <si>
    <t>Feb</t>
  </si>
  <si>
    <t>Nov</t>
  </si>
  <si>
    <t>Apr</t>
  </si>
  <si>
    <t>Months</t>
  </si>
  <si>
    <t>Row Labels</t>
  </si>
  <si>
    <t>Sum of Profit Margin</t>
  </si>
  <si>
    <t>Sum of margin</t>
  </si>
  <si>
    <t>Product Margin</t>
  </si>
  <si>
    <t>Last Actual</t>
  </si>
  <si>
    <t>Forecast End</t>
  </si>
  <si>
    <t>Growth %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</si>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</sst>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gt;1000000]&quot;$&quot;0.00,,&quot;M&quot;;[&gt;1000]&quot;$&quot;0.00,&quot;K&quot;;0"/>
    <numFmt numFmtId="165" formatCode="[&gt;1000000]0.00,,&quot;M&quot;;[&gt;1000]0.00,&quot;K&quot;;0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D4E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NumberFormat="1"/>
    <xf numFmtId="14" fontId="0" fillId="0" borderId="0" xfId="0" applyNumberFormat="1"/>
    <xf numFmtId="0" fontId="3" fillId="3" borderId="0" xfId="0" applyFont="1" applyFill="1"/>
    <xf numFmtId="0" fontId="0" fillId="0" borderId="1" xfId="0" applyNumberFormat="1" applyBorder="1"/>
    <xf numFmtId="0" fontId="0" fillId="0" borderId="1" xfId="0" pivotButton="1" applyBorder="1"/>
    <xf numFmtId="0" fontId="0" fillId="0" borderId="1" xfId="0" applyBorder="1"/>
    <xf numFmtId="10" fontId="0" fillId="0" borderId="1" xfId="0" applyNumberFormat="1" applyBorder="1"/>
    <xf numFmtId="0" fontId="4" fillId="0" borderId="0" xfId="0" applyFont="1"/>
    <xf numFmtId="0" fontId="0" fillId="3" borderId="0" xfId="0" applyFill="1"/>
    <xf numFmtId="1" fontId="0" fillId="0" borderId="1" xfId="0" applyNumberFormat="1" applyBorder="1"/>
    <xf numFmtId="0" fontId="4" fillId="0" borderId="2" xfId="0" applyFont="1" applyBorder="1" applyAlignment="1">
      <alignment horizontal="center"/>
    </xf>
    <xf numFmtId="0" fontId="2" fillId="2" borderId="1" xfId="0" applyFont="1" applyFill="1" applyBorder="1"/>
    <xf numFmtId="17" fontId="0" fillId="0" borderId="1" xfId="0" applyNumberFormat="1" applyBorder="1"/>
    <xf numFmtId="14" fontId="0" fillId="0" borderId="1" xfId="0" applyNumberFormat="1" applyBorder="1"/>
    <xf numFmtId="2" fontId="0" fillId="0" borderId="1" xfId="0" applyNumberFormat="1" applyBorder="1"/>
    <xf numFmtId="0" fontId="0" fillId="4" borderId="0" xfId="0" applyFill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9" fontId="0" fillId="0" borderId="1" xfId="0" applyNumberFormat="1" applyBorder="1"/>
    <xf numFmtId="164" fontId="0" fillId="0" borderId="0" xfId="0" applyNumberFormat="1"/>
    <xf numFmtId="2" fontId="0" fillId="0" borderId="0" xfId="1" applyNumberFormat="1" applyFont="1"/>
    <xf numFmtId="0" fontId="0" fillId="0" borderId="0" xfId="0" applyFill="1" applyBorder="1"/>
    <xf numFmtId="166" fontId="0" fillId="0" borderId="0" xfId="0" applyNumberFormat="1"/>
    <xf numFmtId="166" fontId="0" fillId="0" borderId="1" xfId="0" applyNumberFormat="1" applyBorder="1"/>
    <xf numFmtId="166" fontId="0" fillId="5" borderId="0" xfId="0" applyNumberFormat="1" applyFill="1"/>
    <xf numFmtId="0" fontId="0" fillId="5" borderId="0" xfId="0" applyFill="1"/>
    <xf numFmtId="10" fontId="0" fillId="5" borderId="0" xfId="0" applyNumberFormat="1" applyFill="1"/>
    <xf numFmtId="0" fontId="2" fillId="0" borderId="1" xfId="0" applyFont="1" applyBorder="1"/>
    <xf numFmtId="166" fontId="0" fillId="0" borderId="1" xfId="1" applyNumberFormat="1" applyFont="1" applyBorder="1"/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86">
    <dxf>
      <numFmt numFmtId="164" formatCode="[&gt;1000000]&quot;$&quot;0.00,,&quot;M&quot;;[&gt;1000]&quot;$&quot;0.00,&quot;K&quot;;0"/>
    </dxf>
    <dxf>
      <numFmt numFmtId="164" formatCode="[&gt;1000000]&quot;$&quot;0.00,,&quot;M&quot;;[&gt;1000]&quot;$&quot;0.00,&quot;K&quot;;0"/>
    </dxf>
    <dxf>
      <numFmt numFmtId="164" formatCode="[&gt;1000000]&quot;$&quot;0.00,,&quot;M&quot;;[&gt;1000]&quot;$&quot;0.00,&quot;K&quot;;0"/>
    </dxf>
    <dxf>
      <numFmt numFmtId="164" formatCode="[&gt;1000000]&quot;$&quot;0.00,,&quot;M&quot;;[&gt;1000]&quot;$&quot;0.00,&quot;K&quot;;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&gt;1000000]&quot;$&quot;0.00,,&quot;M&quot;;[&gt;1000]&quot;$&quot;0.00,&quot;K&quot;;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&gt;1000000]&quot;$&quot;0.00,,&quot;M&quot;;[&gt;1000]&quot;$&quot;0.00,&quot;K&quot;;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&gt;1000000]&quot;$&quot;0.00,,&quot;M&quot;;[&gt;1000]&quot;$&quot;0.00,&quot;K&quot;;0"/>
    </dxf>
    <dxf>
      <numFmt numFmtId="167" formatCode="[&gt;=1000000]\₦0.0,,&quot;M&quot;;[&gt;=1000]\₦0.0,&quot;K&quot;;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64" formatCode="[&gt;1000000]&quot;$&quot;0.00,,&quot;M&quot;;[&gt;1000]&quot;$&quot;0.00,&quot;K&quot;;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&gt;1000000]&quot;$&quot;0.00,,&quot;M&quot;;[&gt;1000]&quot;$&quot;0.00,&quot;K&quot;;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64" formatCode="[&gt;1000000]&quot;$&quot;0.00,,&quot;M&quot;;[&gt;1000]&quot;$&quot;0.00,&quot;K&quot;;0"/>
    </dxf>
    <dxf>
      <numFmt numFmtId="167" formatCode="[&gt;=1000000]\₦0.0,,&quot;M&quot;;[&gt;=1000]\₦0.0,&quot;K&quot;;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&gt;1000000]0.00,,&quot;M&quot;;[&gt;1000]0.00,&quot;K&quot;;0"/>
    </dxf>
    <dxf>
      <numFmt numFmtId="164" formatCode="[&gt;1000000]&quot;$&quot;0.00,,&quot;M&quot;;[&gt;1000]&quot;$&quot;0.00,&quot;K&quot;;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C1C1C"/>
      <color rgb="FFB73737"/>
      <color rgb="FFF6F0D8"/>
      <color rgb="FFD6EDD9"/>
      <color rgb="FFE5DEF0"/>
      <color rgb="FFFFFFFF"/>
      <color rgb="FFE5F1FD"/>
      <color rgb="FFE4F1EE"/>
      <color rgb="FFCCD4E7"/>
      <color rgb="FFF5F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C1C1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1C1C1C"/>
            </a:solidFill>
            <a:round/>
          </a:ln>
          <a:effectLst/>
        </c:spPr>
        <c:marker>
          <c:symbol val="circle"/>
          <c:size val="5"/>
          <c:spPr>
            <a:solidFill>
              <a:srgbClr val="92D050"/>
            </a:solidFill>
            <a:ln w="9525">
              <a:noFill/>
            </a:ln>
            <a:effectLst/>
          </c:spPr>
        </c:marker>
      </c:pivotFmt>
      <c:pivotFmt>
        <c:idx val="4"/>
        <c:spPr>
          <a:ln w="28575" cap="rnd">
            <a:solidFill>
              <a:srgbClr val="1C1C1C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rgbClr val="1C1C1C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2589285079041475E-2"/>
          <c:y val="6.6282437293943824E-3"/>
          <c:w val="0.95482142984191709"/>
          <c:h val="0.72892779546179287"/>
        </c:manualLayout>
      </c:layout>
      <c:lineChart>
        <c:grouping val="standard"/>
        <c:varyColors val="0"/>
        <c:ser>
          <c:idx val="0"/>
          <c:order val="0"/>
          <c:tx>
            <c:strRef>
              <c:f>Analysis!$L$6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C1C1C"/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circle"/>
              <c:size val="5"/>
              <c:spPr>
                <a:solidFill>
                  <a:srgbClr val="92D05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1C1C1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A1-436E-ABEA-A4C4407BB9F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1C1C1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A1-436E-ABEA-A4C4407BB9F4}"/>
              </c:ext>
            </c:extLst>
          </c:dPt>
          <c:cat>
            <c:multiLvlStrRef>
              <c:f>Analysis!$J$7:$K$18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Analysis!$L$7:$L$18</c:f>
              <c:numCache>
                <c:formatCode>[&gt;1000000]"$"0.00,,"M";[&gt;1000]"$"0.00,"K";0</c:formatCode>
                <c:ptCount val="12"/>
                <c:pt idx="0">
                  <c:v>6607761.6799999997</c:v>
                </c:pt>
                <c:pt idx="1">
                  <c:v>7297531.3900000015</c:v>
                </c:pt>
                <c:pt idx="2">
                  <c:v>5586859.8699999982</c:v>
                </c:pt>
                <c:pt idx="3">
                  <c:v>6964775.0700000012</c:v>
                </c:pt>
                <c:pt idx="4">
                  <c:v>6210211.0599999987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5864622.4200000009</c:v>
                </c:pt>
                <c:pt idx="8">
                  <c:v>6398697.2400000012</c:v>
                </c:pt>
                <c:pt idx="9">
                  <c:v>12375819.920000002</c:v>
                </c:pt>
                <c:pt idx="10">
                  <c:v>5384214.1999999993</c:v>
                </c:pt>
                <c:pt idx="11">
                  <c:v>11998787.9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A1-436E-ABEA-A4C4407BB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rgbClr val="1C1C1C"/>
                  </a:gs>
                  <a:gs pos="100000">
                    <a:schemeClr val="bg1">
                      <a:lumMod val="9500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1902442159"/>
        <c:axId val="1902442575"/>
      </c:lineChart>
      <c:catAx>
        <c:axId val="190244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442575"/>
        <c:crosses val="autoZero"/>
        <c:auto val="1"/>
        <c:lblAlgn val="ctr"/>
        <c:lblOffset val="100"/>
        <c:noMultiLvlLbl val="0"/>
      </c:catAx>
      <c:valAx>
        <c:axId val="1902442575"/>
        <c:scaling>
          <c:orientation val="minMax"/>
        </c:scaling>
        <c:delete val="1"/>
        <c:axPos val="l"/>
        <c:numFmt formatCode="[&gt;1000000]&quot;$&quot;0.00,,&quot;M&quot;;[&gt;1000]&quot;$&quot;0.00,&quot;K&quot;;0" sourceLinked="1"/>
        <c:majorTickMark val="none"/>
        <c:minorTickMark val="none"/>
        <c:tickLblPos val="nextTo"/>
        <c:crossAx val="190244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C1C1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73737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64300235090715"/>
          <c:y val="3.2521740911837911E-2"/>
          <c:w val="0.77963561351097443"/>
          <c:h val="0.955652171483857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Analysis!$K$35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C1C1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737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5B-427A-B622-DBBAE5CF41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Analysis!$J$36:$J$41</c:f>
              <c:strCache>
                <c:ptCount val="6"/>
                <c:pt idx="0">
                  <c:v>Carretera</c:v>
                </c:pt>
                <c:pt idx="1">
                  <c:v>Montana</c:v>
                </c:pt>
                <c:pt idx="2">
                  <c:v>Velo</c:v>
                </c:pt>
                <c:pt idx="3">
                  <c:v>Amarilla</c:v>
                </c:pt>
                <c:pt idx="4">
                  <c:v>VTT</c:v>
                </c:pt>
                <c:pt idx="5">
                  <c:v>Paseo</c:v>
                </c:pt>
              </c:strCache>
            </c:strRef>
          </c:cat>
          <c:val>
            <c:numRef>
              <c:f>Analysis!$K$36:$K$41</c:f>
              <c:numCache>
                <c:formatCode>[&gt;1000000]"$"0.00,,"M";[&gt;1000]"$"0.00,"K";0</c:formatCode>
                <c:ptCount val="6"/>
                <c:pt idx="0">
                  <c:v>1826804.8849999998</c:v>
                </c:pt>
                <c:pt idx="1">
                  <c:v>2114754.8800000004</c:v>
                </c:pt>
                <c:pt idx="2">
                  <c:v>2305992.4649999999</c:v>
                </c:pt>
                <c:pt idx="3">
                  <c:v>2814104.06</c:v>
                </c:pt>
                <c:pt idx="4">
                  <c:v>3034608.0200000005</c:v>
                </c:pt>
                <c:pt idx="5">
                  <c:v>4797437.9499999993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B-427A-B622-DBBAE5CF41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7096767"/>
        <c:axId val="1897092607"/>
      </c:barChart>
      <c:catAx>
        <c:axId val="189709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92607"/>
        <c:crosses val="autoZero"/>
        <c:auto val="1"/>
        <c:lblAlgn val="ctr"/>
        <c:lblOffset val="100"/>
        <c:noMultiLvlLbl val="0"/>
      </c:catAx>
      <c:valAx>
        <c:axId val="1897092607"/>
        <c:scaling>
          <c:orientation val="minMax"/>
        </c:scaling>
        <c:delete val="1"/>
        <c:axPos val="b"/>
        <c:numFmt formatCode="[&gt;1000000]&quot;$&quot;0.00,,&quot;M&quot;;[&gt;1000]&quot;$&quot;0.00,&quot;K&quot;;0" sourceLinked="1"/>
        <c:majorTickMark val="none"/>
        <c:minorTickMark val="none"/>
        <c:tickLblPos val="nextTo"/>
        <c:crossAx val="18970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6ED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73737"/>
          </a:solidFill>
          <a:ln>
            <a:noFill/>
          </a:ln>
          <a:effectLst/>
        </c:spPr>
        <c:dLbl>
          <c:idx val="0"/>
          <c:layout>
            <c:manualLayout>
              <c:x val="-0.23928550036150179"/>
              <c:y val="-2.162137519606832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4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0432533867416717E-2"/>
          <c:y val="6.264251594720445E-2"/>
          <c:w val="0.90956746613258332"/>
          <c:h val="0.922615564849862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Analysis!$K$26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D6EDD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737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56B-47E1-B59D-E6F30D94ACB5}"/>
              </c:ext>
            </c:extLst>
          </c:dPt>
          <c:dLbls>
            <c:dLbl>
              <c:idx val="0"/>
              <c:layout>
                <c:manualLayout>
                  <c:x val="-0.23928550036150179"/>
                  <c:y val="-2.1621375196068327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256B-47E1-B59D-E6F30D94A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Analysis!$J$27:$J$31</c:f>
              <c:strCache>
                <c:ptCount val="5"/>
                <c:pt idx="0">
                  <c:v>Enterprise</c:v>
                </c:pt>
                <c:pt idx="1">
                  <c:v>Midmarket</c:v>
                </c:pt>
                <c:pt idx="2">
                  <c:v>Channel Partners</c:v>
                </c:pt>
                <c:pt idx="3">
                  <c:v>Small Business</c:v>
                </c:pt>
                <c:pt idx="4">
                  <c:v>Government</c:v>
                </c:pt>
              </c:strCache>
            </c:strRef>
          </c:cat>
          <c:val>
            <c:numRef>
              <c:f>Analysis!$K$27:$K$31</c:f>
              <c:numCache>
                <c:formatCode>[&gt;1000000]"$"0.00,,"M";[&gt;1000]"$"0.00,"K";0</c:formatCode>
                <c:ptCount val="5"/>
                <c:pt idx="0">
                  <c:v>-614545.625</c:v>
                </c:pt>
                <c:pt idx="1">
                  <c:v>660103.07499999984</c:v>
                </c:pt>
                <c:pt idx="2">
                  <c:v>1316803.1400000001</c:v>
                </c:pt>
                <c:pt idx="3">
                  <c:v>4143168.5</c:v>
                </c:pt>
                <c:pt idx="4">
                  <c:v>11388173.169999985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B-47E1-B59D-E6F30D94ACB5}"/>
            </c:ext>
          </c:extLst>
        </c:ser>
        <c:ser>
          <c:idx val="1"/>
          <c:order val="1"/>
          <c:tx>
            <c:strRef>
              <c:f>Analysis!$L$26</c:f>
              <c:strCache>
                <c:ptCount val="1"/>
                <c:pt idx="0">
                  <c:v>Sum of Profits</c:v>
                </c:pt>
              </c:strCache>
            </c:strRef>
          </c:tx>
          <c:invertIfNegative val="0"/>
          <c:dLbls>
            <c:delete val="1"/>
          </c:dLbls>
          <c:cat>
            <c:strRef>
              <c:f>Analysis!$J$27:$J$31</c:f>
              <c:strCache>
                <c:ptCount val="5"/>
                <c:pt idx="0">
                  <c:v>Enterprise</c:v>
                </c:pt>
                <c:pt idx="1">
                  <c:v>Midmarket</c:v>
                </c:pt>
                <c:pt idx="2">
                  <c:v>Channel Partners</c:v>
                </c:pt>
                <c:pt idx="3">
                  <c:v>Small Business</c:v>
                </c:pt>
                <c:pt idx="4">
                  <c:v>Government</c:v>
                </c:pt>
              </c:strCache>
            </c:strRef>
          </c:cat>
          <c:val>
            <c:numRef>
              <c:f>Analysis!$L$27:$L$31</c:f>
              <c:numCache>
                <c:formatCode>0.00%</c:formatCode>
                <c:ptCount val="5"/>
                <c:pt idx="0">
                  <c:v>-3.6377202317285341E-2</c:v>
                </c:pt>
                <c:pt idx="1">
                  <c:v>3.9073914340431885E-2</c:v>
                </c:pt>
                <c:pt idx="2">
                  <c:v>7.7946392077588411E-2</c:v>
                </c:pt>
                <c:pt idx="3">
                  <c:v>0.2452492909035088</c:v>
                </c:pt>
                <c:pt idx="4">
                  <c:v>0.67410760499575639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9E-46F0-84FA-FF71FF89EA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3960575"/>
        <c:axId val="873961823"/>
      </c:barChart>
      <c:catAx>
        <c:axId val="87396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6EDD9">
                <a:alpha val="5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961823"/>
        <c:crosses val="autoZero"/>
        <c:auto val="1"/>
        <c:lblAlgn val="ctr"/>
        <c:lblOffset val="100"/>
        <c:noMultiLvlLbl val="0"/>
      </c:catAx>
      <c:valAx>
        <c:axId val="873961823"/>
        <c:scaling>
          <c:orientation val="minMax"/>
        </c:scaling>
        <c:delete val="1"/>
        <c:axPos val="b"/>
        <c:numFmt formatCode="[&gt;1000000]&quot;$&quot;0.00,,&quot;M&quot;;[&gt;1000]&quot;$&quot;0.00,&quot;K&quot;;0" sourceLinked="1"/>
        <c:majorTickMark val="none"/>
        <c:minorTickMark val="none"/>
        <c:tickLblPos val="nextTo"/>
        <c:crossAx val="87396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[Report.xlsx]Analysis!PivotTable13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C1C1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444458815984349E-2"/>
          <c:y val="0.13162382532566769"/>
          <c:w val="0.86311108236803125"/>
          <c:h val="0.8324787677673321"/>
        </c:manualLayout>
      </c:layout>
      <c:lineChart>
        <c:grouping val="standard"/>
        <c:varyColors val="0"/>
        <c:ser>
          <c:idx val="0"/>
          <c:order val="0"/>
          <c:tx>
            <c:strRef>
              <c:f>Analysis!$C$9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C1C1C"/>
              </a:solidFill>
              <a:round/>
            </a:ln>
            <a:effectLst/>
          </c:spPr>
          <c:marker>
            <c:symbol val="none"/>
          </c:marker>
          <c:cat>
            <c:strRef>
              <c:f>Analysis!$B$10:$B$21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Analysis!$C$10:$C$21</c:f>
              <c:numCache>
                <c:formatCode>[&gt;1000000]"$"0.00,,"M";[&gt;1000]"$"0.00,"K";0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1-4572-B051-DD56B4DB6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810511"/>
        <c:axId val="873809679"/>
      </c:lineChart>
      <c:catAx>
        <c:axId val="873810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3809679"/>
        <c:crosses val="autoZero"/>
        <c:auto val="1"/>
        <c:lblAlgn val="ctr"/>
        <c:lblOffset val="100"/>
        <c:noMultiLvlLbl val="0"/>
      </c:catAx>
      <c:valAx>
        <c:axId val="873809679"/>
        <c:scaling>
          <c:orientation val="minMax"/>
        </c:scaling>
        <c:delete val="1"/>
        <c:axPos val="l"/>
        <c:numFmt formatCode="[&gt;1000000]&quot;$&quot;0.00,,&quot;M&quot;;[&gt;1000]&quot;$&quot;0.00,&quot;K&quot;;0" sourceLinked="1"/>
        <c:majorTickMark val="none"/>
        <c:minorTickMark val="none"/>
        <c:tickLblPos val="nextTo"/>
        <c:crossAx val="8738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[Report.xlsx]Analysis!PivotTable14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C1C1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C1C1C"/>
              </a:solidFill>
              <a:round/>
            </a:ln>
            <a:effectLst/>
          </c:spPr>
          <c:marker>
            <c:symbol val="none"/>
          </c:marker>
          <c:cat>
            <c:strRef>
              <c:f>Analysis!$B$26:$B$37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Analysis!$C$26:$C$37</c:f>
              <c:numCache>
                <c:formatCode>General</c:formatCode>
                <c:ptCount val="12"/>
                <c:pt idx="0">
                  <c:v>814028.67999999993</c:v>
                </c:pt>
                <c:pt idx="1">
                  <c:v>1148547.3899999999</c:v>
                </c:pt>
                <c:pt idx="2">
                  <c:v>669866.87</c:v>
                </c:pt>
                <c:pt idx="3">
                  <c:v>929984.56999999983</c:v>
                </c:pt>
                <c:pt idx="4">
                  <c:v>828640.06</c:v>
                </c:pt>
                <c:pt idx="5">
                  <c:v>1473753.8200000003</c:v>
                </c:pt>
                <c:pt idx="6">
                  <c:v>923865.67999999982</c:v>
                </c:pt>
                <c:pt idx="7">
                  <c:v>791066.41999999993</c:v>
                </c:pt>
                <c:pt idx="8">
                  <c:v>1786735.2699999996</c:v>
                </c:pt>
                <c:pt idx="9">
                  <c:v>3439781.0200000014</c:v>
                </c:pt>
                <c:pt idx="10">
                  <c:v>1370102.5</c:v>
                </c:pt>
                <c:pt idx="11">
                  <c:v>2717329.9799999991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F9-4C48-AD9B-8B2900CB8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7237807"/>
        <c:axId val="667248207"/>
      </c:lineChart>
      <c:catAx>
        <c:axId val="667237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7248207"/>
        <c:crosses val="autoZero"/>
        <c:auto val="1"/>
        <c:lblAlgn val="ctr"/>
        <c:lblOffset val="100"/>
        <c:noMultiLvlLbl val="0"/>
      </c:catAx>
      <c:valAx>
        <c:axId val="667248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723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[Report.xlsx]Analysis!PivotTable15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C1C1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1C1C1C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rgbClr val="1C1C1C"/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C1C1C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1C1C1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04-4F9D-AE9D-92A8A2651617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1C1C1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04-4F9D-AE9D-92A8A2651617}"/>
              </c:ext>
            </c:extLst>
          </c:dPt>
          <c:cat>
            <c:strRef>
              <c:f>Analysis!$B$43:$B$54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Analysis!$C$43:$C$54</c:f>
              <c:numCache>
                <c:formatCode>General</c:formatCode>
                <c:ptCount val="12"/>
                <c:pt idx="0">
                  <c:v>67835.5</c:v>
                </c:pt>
                <c:pt idx="1">
                  <c:v>55115</c:v>
                </c:pt>
                <c:pt idx="2">
                  <c:v>53420</c:v>
                </c:pt>
                <c:pt idx="3">
                  <c:v>78886.5</c:v>
                </c:pt>
                <c:pt idx="4">
                  <c:v>51771</c:v>
                </c:pt>
                <c:pt idx="5">
                  <c:v>103302</c:v>
                </c:pt>
                <c:pt idx="6">
                  <c:v>69349</c:v>
                </c:pt>
                <c:pt idx="7">
                  <c:v>60705</c:v>
                </c:pt>
                <c:pt idx="8">
                  <c:v>107881</c:v>
                </c:pt>
                <c:pt idx="9">
                  <c:v>201104</c:v>
                </c:pt>
                <c:pt idx="10">
                  <c:v>121131</c:v>
                </c:pt>
                <c:pt idx="11">
                  <c:v>155306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04-4F9D-AE9D-92A8A2651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654719"/>
        <c:axId val="1890655135"/>
      </c:lineChart>
      <c:catAx>
        <c:axId val="1890654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0655135"/>
        <c:crosses val="autoZero"/>
        <c:auto val="1"/>
        <c:lblAlgn val="ctr"/>
        <c:lblOffset val="100"/>
        <c:noMultiLvlLbl val="0"/>
      </c:catAx>
      <c:valAx>
        <c:axId val="18906551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906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[Report.xlsx]Analysis!PivotTable16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1C1C1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1C1C1C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rgbClr val="1C1C1C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Analysis!$C$58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C1C1C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1C1C1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B5-4582-AE38-DCC187304C8A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1C1C1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B5-4582-AE38-DCC187304C8A}"/>
              </c:ext>
            </c:extLst>
          </c:dPt>
          <c:cat>
            <c:strRef>
              <c:f>Analysis!$B$59:$B$70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Analysis!$C$59:$C$70</c:f>
              <c:numCache>
                <c:formatCode>0.00</c:formatCode>
                <c:ptCount val="12"/>
                <c:pt idx="0">
                  <c:v>9.4594819221262973</c:v>
                </c:pt>
                <c:pt idx="1">
                  <c:v>9.9428407352800043</c:v>
                </c:pt>
                <c:pt idx="2">
                  <c:v>9.6862861944689982</c:v>
                </c:pt>
                <c:pt idx="3">
                  <c:v>9.8424186612562234</c:v>
                </c:pt>
                <c:pt idx="4">
                  <c:v>9.6090800322692278</c:v>
                </c:pt>
                <c:pt idx="5">
                  <c:v>20.327100859756875</c:v>
                </c:pt>
                <c:pt idx="6">
                  <c:v>9.5866172035357042</c:v>
                </c:pt>
                <c:pt idx="7">
                  <c:v>9.8319341166606229</c:v>
                </c:pt>
                <c:pt idx="8">
                  <c:v>19.691600273667945</c:v>
                </c:pt>
                <c:pt idx="9">
                  <c:v>38.757787940611735</c:v>
                </c:pt>
                <c:pt idx="10">
                  <c:v>18.716469081040941</c:v>
                </c:pt>
                <c:pt idx="11">
                  <c:v>29.855075963328829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B5-4582-AE38-DCC187304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2415"/>
        <c:axId val="20589919"/>
      </c:lineChart>
      <c:catAx>
        <c:axId val="20592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89919"/>
        <c:crosses val="autoZero"/>
        <c:auto val="1"/>
        <c:lblAlgn val="ctr"/>
        <c:lblOffset val="100"/>
        <c:noMultiLvlLbl val="0"/>
      </c:catAx>
      <c:valAx>
        <c:axId val="2058991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59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[Report.xlsx]Analysis!PivotTable5</c:name>
    <c:fmtId val="4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C1C1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73737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0555555555555555E-2"/>
          <c:y val="0.20811919576685686"/>
          <c:w val="0.93888888888888888"/>
          <c:h val="0.63825421878111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Analysis!$K$45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C1C1C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B737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A6-46EF-8C51-856A223C46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Analysis!$J$46:$J$50</c:f>
              <c:strCache>
                <c:ptCount val="5"/>
                <c:pt idx="0">
                  <c:v>France</c:v>
                </c:pt>
                <c:pt idx="1">
                  <c:v>Germany</c:v>
                </c:pt>
                <c:pt idx="2">
                  <c:v>Canada</c:v>
                </c:pt>
                <c:pt idx="3">
                  <c:v>United States of America</c:v>
                </c:pt>
                <c:pt idx="4">
                  <c:v>Mexico</c:v>
                </c:pt>
              </c:strCache>
            </c:strRef>
          </c:cat>
          <c:val>
            <c:numRef>
              <c:f>Analysis!$K$46:$K$50</c:f>
              <c:numCache>
                <c:formatCode>[&gt;1000000]"$"0.00,,"M";[&gt;1000]"$"0.00,"K";0</c:formatCode>
                <c:ptCount val="5"/>
                <c:pt idx="0">
                  <c:v>3781020.7800000007</c:v>
                </c:pt>
                <c:pt idx="1">
                  <c:v>3680388.8200000008</c:v>
                </c:pt>
                <c:pt idx="2">
                  <c:v>3529228.8850000002</c:v>
                </c:pt>
                <c:pt idx="3">
                  <c:v>2995540.6649999991</c:v>
                </c:pt>
                <c:pt idx="4">
                  <c:v>2907523.1100000003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6-46EF-8C51-856A223C46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636591"/>
        <c:axId val="65636175"/>
      </c:barChart>
      <c:catAx>
        <c:axId val="6563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6175"/>
        <c:crosses val="autoZero"/>
        <c:auto val="1"/>
        <c:lblAlgn val="ctr"/>
        <c:lblOffset val="100"/>
        <c:noMultiLvlLbl val="0"/>
      </c:catAx>
      <c:valAx>
        <c:axId val="65636175"/>
        <c:scaling>
          <c:orientation val="minMax"/>
        </c:scaling>
        <c:delete val="1"/>
        <c:axPos val="l"/>
        <c:numFmt formatCode="[&gt;1000000]&quot;$&quot;0.00,,&quot;M&quot;;[&gt;1000]&quot;$&quot;0.00,&quot;K&quot;;0" sourceLinked="1"/>
        <c:majorTickMark val="none"/>
        <c:minorTickMark val="none"/>
        <c:tickLblPos val="nextTo"/>
        <c:crossAx val="6563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441342559452795E-2"/>
          <c:y val="4.6176046176046176E-2"/>
          <c:w val="0.96447450886820962"/>
          <c:h val="0.9173914902970609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A39-44E6-8CD8-D0F49AE17B3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A39-44E6-8CD8-D0F49AE17B3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A39-44E6-8CD8-D0F49AE17B3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A39-44E6-8CD8-D0F49AE17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839721039"/>
        <c:axId val="839733519"/>
      </c:lineChart>
      <c:catAx>
        <c:axId val="839721039"/>
        <c:scaling>
          <c:orientation val="minMax"/>
        </c:scaling>
        <c:delete val="1"/>
        <c:axPos val="b"/>
        <c:majorTickMark val="none"/>
        <c:minorTickMark val="none"/>
        <c:tickLblPos val="low"/>
        <c:crossAx val="839733519"/>
        <c:crosses val="autoZero"/>
        <c:auto val="1"/>
        <c:lblAlgn val="ctr"/>
        <c:lblOffset val="100"/>
        <c:noMultiLvlLbl val="0"/>
      </c:catAx>
      <c:valAx>
        <c:axId val="8397335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972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[Report.xlsx]Analysis!PivotTable6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5DEF0"/>
          </a:solidFill>
          <a:ln w="19050">
            <a:noFill/>
          </a:ln>
          <a:effectLst/>
        </c:spPr>
        <c:dLbl>
          <c:idx val="0"/>
          <c:layout>
            <c:manualLayout>
              <c:x val="-0.21596239873574138"/>
              <c:y val="3.800671647782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C1C1C"/>
          </a:solidFill>
          <a:ln w="19050">
            <a:noFill/>
          </a:ln>
          <a:effectLst/>
        </c:spPr>
        <c:dLbl>
          <c:idx val="0"/>
          <c:layout>
            <c:manualLayout>
              <c:x val="0.11517994599239541"/>
              <c:y val="-0.268333129090269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D6EDD9"/>
          </a:solidFill>
          <a:ln w="19050">
            <a:noFill/>
          </a:ln>
          <a:effectLst/>
        </c:spPr>
        <c:dLbl>
          <c:idx val="0"/>
          <c:layout>
            <c:manualLayout>
              <c:x val="-0.14037555917823188"/>
              <c:y val="2.46498237573519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6F0D8"/>
          </a:solidFill>
          <a:ln w="19050">
            <a:noFill/>
          </a:ln>
          <a:effectLst/>
        </c:spPr>
        <c:dLbl>
          <c:idx val="0"/>
          <c:layout>
            <c:manualLayout>
              <c:x val="-0.13677618586596954"/>
              <c:y val="7.66666083115054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41737992830728"/>
          <c:y val="1.6499619987165891E-2"/>
          <c:w val="0.46118996982194721"/>
          <c:h val="0.98233408168796932"/>
        </c:manualLayout>
      </c:layout>
      <c:doughnutChart>
        <c:varyColors val="1"/>
        <c:ser>
          <c:idx val="0"/>
          <c:order val="0"/>
          <c:tx>
            <c:strRef>
              <c:f>Analysis!$U$59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5DEF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BF-443A-88A4-2D7526C0D24B}"/>
              </c:ext>
            </c:extLst>
          </c:dPt>
          <c:dPt>
            <c:idx val="1"/>
            <c:bubble3D val="0"/>
            <c:spPr>
              <a:solidFill>
                <a:srgbClr val="1C1C1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BF-443A-88A4-2D7526C0D24B}"/>
              </c:ext>
            </c:extLst>
          </c:dPt>
          <c:dPt>
            <c:idx val="2"/>
            <c:bubble3D val="0"/>
            <c:spPr>
              <a:solidFill>
                <a:srgbClr val="D6EDD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BF-443A-88A4-2D7526C0D24B}"/>
              </c:ext>
            </c:extLst>
          </c:dPt>
          <c:dPt>
            <c:idx val="3"/>
            <c:bubble3D val="0"/>
            <c:spPr>
              <a:solidFill>
                <a:srgbClr val="F6F0D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BF-443A-88A4-2D7526C0D24B}"/>
              </c:ext>
            </c:extLst>
          </c:dPt>
          <c:dLbls>
            <c:dLbl>
              <c:idx val="0"/>
              <c:layout>
                <c:manualLayout>
                  <c:x val="-0.21596239873574138"/>
                  <c:y val="3.80067164778273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BF-443A-88A4-2D7526C0D24B}"/>
                </c:ext>
              </c:extLst>
            </c:dLbl>
            <c:dLbl>
              <c:idx val="1"/>
              <c:layout>
                <c:manualLayout>
                  <c:x val="0.11517994599239541"/>
                  <c:y val="-0.26833312909026918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BF-443A-88A4-2D7526C0D24B}"/>
                </c:ext>
              </c:extLst>
            </c:dLbl>
            <c:dLbl>
              <c:idx val="2"/>
              <c:layout>
                <c:manualLayout>
                  <c:x val="-0.14037555917823188"/>
                  <c:y val="2.464982375735199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BF-443A-88A4-2D7526C0D24B}"/>
                </c:ext>
              </c:extLst>
            </c:dLbl>
            <c:dLbl>
              <c:idx val="3"/>
              <c:layout>
                <c:manualLayout>
                  <c:x val="-0.13677618586596954"/>
                  <c:y val="7.666660831150541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BF-443A-88A4-2D7526C0D2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Analysis!$T$60:$T$63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Analysis!$U$60:$U$63</c:f>
              <c:numCache>
                <c:formatCode>[&gt;1000000]"$"0.00,,"M";[&gt;1000]"$"0.00,"K";0</c:formatCode>
                <c:ptCount val="4"/>
                <c:pt idx="0">
                  <c:v>3388866.7250000001</c:v>
                </c:pt>
                <c:pt idx="1">
                  <c:v>6188857.7000000011</c:v>
                </c:pt>
                <c:pt idx="2">
                  <c:v>5579522.8349999972</c:v>
                </c:pt>
                <c:pt idx="3">
                  <c:v>1736455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BF-443A-88A4-2D7526C0D2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00"/>
        <c:holeSize val="8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634136102126852E-2"/>
          <c:y val="5.6854594405475058E-2"/>
          <c:w val="0.95557096652394158"/>
          <c:h val="0.8953709274145375"/>
        </c:manualLayout>
      </c:layout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Net Sale</c:v>
                </c:pt>
              </c:strCache>
            </c:strRef>
          </c:tx>
          <c:spPr>
            <a:ln w="28575" cap="rnd">
              <a:solidFill>
                <a:srgbClr val="1C1C1C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Sheet'!$B$2:$B$19</c:f>
              <c:numCache>
                <c:formatCode>[&gt;1000000]"$"0.00,,"M";[&gt;1000]"$"0.00,"K";0</c:formatCode>
                <c:ptCount val="18"/>
                <c:pt idx="0">
                  <c:v>6607761.6799999997</c:v>
                </c:pt>
                <c:pt idx="1">
                  <c:v>7297531.3900000015</c:v>
                </c:pt>
                <c:pt idx="2">
                  <c:v>5586859.8699999982</c:v>
                </c:pt>
                <c:pt idx="3">
                  <c:v>6964775.0700000012</c:v>
                </c:pt>
                <c:pt idx="4">
                  <c:v>6210211.0599999987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5864622.4200000009</c:v>
                </c:pt>
                <c:pt idx="8">
                  <c:v>6398697.2400000012</c:v>
                </c:pt>
                <c:pt idx="9">
                  <c:v>12375819.920000002</c:v>
                </c:pt>
                <c:pt idx="10">
                  <c:v>5384214.1999999993</c:v>
                </c:pt>
                <c:pt idx="11">
                  <c:v>11998787.9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4E-4665-974D-1701FFBB7760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Forecast(Net Sale)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'Forecast Sheet'!$C$2:$C$19</c:f>
              <c:numCache>
                <c:formatCode>General</c:formatCode>
                <c:ptCount val="18"/>
                <c:pt idx="11" formatCode="[&gt;1000000]&quot;$&quot;0.00,,&quot;M&quot;;[&gt;1000]&quot;$&quot;0.00,&quot;K&quot;;0">
                  <c:v>11998787.9</c:v>
                </c:pt>
                <c:pt idx="12" formatCode="[&gt;1000000]&quot;$&quot;0.00,,&quot;M&quot;;[&gt;1000]&quot;$&quot;0.00,&quot;K&quot;;0">
                  <c:v>8810030.5911185481</c:v>
                </c:pt>
                <c:pt idx="13" formatCode="[&gt;1000000]&quot;$&quot;0.00,,&quot;M&quot;;[&gt;1000]&quot;$&quot;0.00,&quot;K&quot;;0">
                  <c:v>10669659.85703495</c:v>
                </c:pt>
                <c:pt idx="14" formatCode="[&gt;1000000]&quot;$&quot;0.00,,&quot;M&quot;;[&gt;1000]&quot;$&quot;0.00,&quot;K&quot;;0">
                  <c:v>9318801.908024272</c:v>
                </c:pt>
                <c:pt idx="15" formatCode="[&gt;1000000]&quot;$&quot;0.00,,&quot;M&quot;;[&gt;1000]&quot;$&quot;0.00,&quot;K&quot;;0">
                  <c:v>11178431.173940673</c:v>
                </c:pt>
                <c:pt idx="16" formatCode="[&gt;1000000]&quot;$&quot;0.00,,&quot;M&quot;;[&gt;1000]&quot;$&quot;0.00,&quot;K&quot;;0">
                  <c:v>9827573.2249299977</c:v>
                </c:pt>
                <c:pt idx="17" formatCode="[&gt;1000000]&quot;$&quot;0.00,,&quot;M&quot;;[&gt;1000]&quot;$&quot;0.00,&quot;K&quot;;0">
                  <c:v>11687202.490846399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E-4665-974D-1701FFBB7760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Bound(Net Sale)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'Forecast Sheet'!$D$2:$D$19</c:f>
              <c:numCache>
                <c:formatCode>General</c:formatCode>
                <c:ptCount val="18"/>
                <c:pt idx="11" formatCode="[&gt;1000000]&quot;$&quot;0.00,,&quot;M&quot;;[&gt;1000]&quot;$&quot;0.00,&quot;K&quot;;0">
                  <c:v>11998787.9</c:v>
                </c:pt>
                <c:pt idx="12" formatCode="[&gt;1000000]&quot;$&quot;0.00,,&quot;M&quot;;[&gt;1000]&quot;$&quot;0.00,&quot;K&quot;;0">
                  <c:v>5001123.511848148</c:v>
                </c:pt>
                <c:pt idx="13" formatCode="[&gt;1000000]&quot;$&quot;0.00,,&quot;M&quot;;[&gt;1000]&quot;$&quot;0.00,&quot;K&quot;;0">
                  <c:v>6830158.7160705011</c:v>
                </c:pt>
                <c:pt idx="14" formatCode="[&gt;1000000]&quot;$&quot;0.00,,&quot;M&quot;;[&gt;1000]&quot;$&quot;0.00,&quot;K&quot;;0">
                  <c:v>5447988.9618506469</c:v>
                </c:pt>
                <c:pt idx="15" formatCode="[&gt;1000000]&quot;$&quot;0.00,,&quot;M&quot;;[&gt;1000]&quot;$&quot;0.00,&quot;K&quot;;0">
                  <c:v>7276557.6858501909</c:v>
                </c:pt>
                <c:pt idx="16" formatCode="[&gt;1000000]&quot;$&quot;0.00,,&quot;M&quot;;[&gt;1000]&quot;$&quot;0.00,&quot;K&quot;;0">
                  <c:v>5893925.4760976918</c:v>
                </c:pt>
                <c:pt idx="17" formatCode="[&gt;1000000]&quot;$&quot;0.00,,&quot;M&quot;;[&gt;1000]&quot;$&quot;0.00,&quot;K&quot;;0">
                  <c:v>7722035.0912624244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E-4665-974D-1701FFBB7760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Bound(Net Sale)</c:v>
                </c:pt>
              </c:strCache>
            </c:strRef>
          </c:tx>
          <c:spPr>
            <a:ln w="1270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'Forecast Sheet'!$E$2:$E$19</c:f>
              <c:numCache>
                <c:formatCode>General</c:formatCode>
                <c:ptCount val="18"/>
                <c:pt idx="11" formatCode="[&gt;1000000]&quot;$&quot;0.00,,&quot;M&quot;;[&gt;1000]&quot;$&quot;0.00,&quot;K&quot;;0">
                  <c:v>11998787.9</c:v>
                </c:pt>
                <c:pt idx="12" formatCode="[&gt;1000000]&quot;$&quot;0.00,,&quot;M&quot;;[&gt;1000]&quot;$&quot;0.00,&quot;K&quot;;0">
                  <c:v>12618937.670388948</c:v>
                </c:pt>
                <c:pt idx="13" formatCode="[&gt;1000000]&quot;$&quot;0.00,,&quot;M&quot;;[&gt;1000]&quot;$&quot;0.00,&quot;K&quot;;0">
                  <c:v>14509160.997999398</c:v>
                </c:pt>
                <c:pt idx="14" formatCode="[&gt;1000000]&quot;$&quot;0.00,,&quot;M&quot;;[&gt;1000]&quot;$&quot;0.00,&quot;K&quot;;0">
                  <c:v>13189614.854197897</c:v>
                </c:pt>
                <c:pt idx="15" formatCode="[&gt;1000000]&quot;$&quot;0.00,,&quot;M&quot;;[&gt;1000]&quot;$&quot;0.00,&quot;K&quot;;0">
                  <c:v>15080304.662031155</c:v>
                </c:pt>
                <c:pt idx="16" formatCode="[&gt;1000000]&quot;$&quot;0.00,,&quot;M&quot;;[&gt;1000]&quot;$&quot;0.00,&quot;K&quot;;0">
                  <c:v>13761220.973762304</c:v>
                </c:pt>
                <c:pt idx="17" formatCode="[&gt;1000000]&quot;$&quot;0.00,,&quot;M&quot;;[&gt;1000]&quot;$&quot;0.00,&quot;K&quot;;0">
                  <c:v>15652369.890430374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E-4665-974D-1701FFBB7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408208"/>
        <c:axId val="495417360"/>
      </c:lineChart>
      <c:catAx>
        <c:axId val="495408208"/>
        <c:scaling>
          <c:orientation val="minMax"/>
        </c:scaling>
        <c:delete val="1"/>
        <c:axPos val="b"/>
        <c:majorTickMark val="none"/>
        <c:minorTickMark val="none"/>
        <c:tickLblPos val="low"/>
        <c:crossAx val="495417360"/>
        <c:crosses val="autoZero"/>
        <c:auto val="1"/>
        <c:lblAlgn val="ctr"/>
        <c:lblOffset val="100"/>
        <c:noMultiLvlLbl val="0"/>
      </c:catAx>
      <c:valAx>
        <c:axId val="495417360"/>
        <c:scaling>
          <c:orientation val="minMax"/>
        </c:scaling>
        <c:delete val="1"/>
        <c:axPos val="l"/>
        <c:numFmt formatCode="[&gt;1000000]&quot;$&quot;0.00,,&quot;M&quot;;[&gt;1000]&quot;$&quot;0.00,&quot;K&quot;;0" sourceLinked="1"/>
        <c:majorTickMark val="none"/>
        <c:minorTickMark val="none"/>
        <c:tickLblPos val="nextTo"/>
        <c:crossAx val="49540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C1C1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73737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Analysis!$U$6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C1C1C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B737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57F-4026-8B84-4FC7C2E7A5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Analysis!$T$7:$T$12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Analysis!$U$7:$U$12</c:f>
              <c:numCache>
                <c:formatCode>0.00%</c:formatCode>
                <c:ptCount val="6"/>
                <c:pt idx="0">
                  <c:v>0.15856683702782975</c:v>
                </c:pt>
                <c:pt idx="1">
                  <c:v>0.13223048666063075</c:v>
                </c:pt>
                <c:pt idx="2">
                  <c:v>0.13740381407599545</c:v>
                </c:pt>
                <c:pt idx="3">
                  <c:v>0.14532783102780047</c:v>
                </c:pt>
                <c:pt idx="4">
                  <c:v>0.12635533979614899</c:v>
                </c:pt>
                <c:pt idx="5">
                  <c:v>0.14794362834378741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F-4026-8B84-4FC7C2E7A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409872"/>
        <c:axId val="495412368"/>
      </c:barChart>
      <c:catAx>
        <c:axId val="49540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12368"/>
        <c:crosses val="autoZero"/>
        <c:auto val="1"/>
        <c:lblAlgn val="ctr"/>
        <c:lblOffset val="100"/>
        <c:noMultiLvlLbl val="0"/>
      </c:catAx>
      <c:valAx>
        <c:axId val="49541236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9540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[Report.xlsx]Analysis!PivotTable9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C1C1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73737"/>
          </a:solidFill>
          <a:ln>
            <a:noFill/>
          </a:ln>
          <a:effectLst/>
        </c:spPr>
        <c:dLbl>
          <c:idx val="0"/>
          <c:layout>
            <c:manualLayout>
              <c:x val="-0.16393442622950818"/>
              <c:y val="-7.40740740740754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C1C1C"/>
          </a:solidFill>
          <a:ln>
            <a:noFill/>
          </a:ln>
          <a:effectLst/>
        </c:spPr>
        <c:dLbl>
          <c:idx val="0"/>
          <c:layout>
            <c:manualLayout>
              <c:x val="-8.5245901639344257E-2"/>
              <c:y val="-3.70384951881014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896708403252872"/>
                  <c:h val="6.6611256926217541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7067295750412962E-2"/>
          <c:y val="3.7037037037037038E-3"/>
          <c:w val="0.90631220418454472"/>
          <c:h val="0.974074074074074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Analysis!$U$15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C1C1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737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E-4B64-AB0D-6CBD59C5A13F}"/>
              </c:ext>
            </c:extLst>
          </c:dPt>
          <c:dPt>
            <c:idx val="4"/>
            <c:invertIfNegative val="0"/>
            <c:bubble3D val="0"/>
            <c:spPr>
              <a:solidFill>
                <a:srgbClr val="1C1C1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6E-4B64-AB0D-6CBD59C5A13F}"/>
              </c:ext>
            </c:extLst>
          </c:dPt>
          <c:dLbls>
            <c:dLbl>
              <c:idx val="0"/>
              <c:layout>
                <c:manualLayout>
                  <c:x val="-0.16393442622950818"/>
                  <c:y val="-7.40740740740754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6E-4B64-AB0D-6CBD59C5A13F}"/>
                </c:ext>
              </c:extLst>
            </c:dLbl>
            <c:dLbl>
              <c:idx val="4"/>
              <c:layout>
                <c:manualLayout>
                  <c:x val="-8.5245901639344257E-2"/>
                  <c:y val="-3.703849518810140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896708403252872"/>
                      <c:h val="6.66112569262175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D6E-4B64-AB0D-6CBD59C5A1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Analysis!$T$16:$T$20</c:f>
              <c:strCache>
                <c:ptCount val="5"/>
                <c:pt idx="0">
                  <c:v>Enterprise</c:v>
                </c:pt>
                <c:pt idx="1">
                  <c:v>Small Business</c:v>
                </c:pt>
                <c:pt idx="2">
                  <c:v>Government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Analysis!$U$16:$U$20</c:f>
              <c:numCache>
                <c:formatCode>0.0%</c:formatCode>
                <c:ptCount val="5"/>
                <c:pt idx="0">
                  <c:v>-3.1335672137711455E-2</c:v>
                </c:pt>
                <c:pt idx="1">
                  <c:v>9.7651938781771724E-2</c:v>
                </c:pt>
                <c:pt idx="2">
                  <c:v>0.21689998153820259</c:v>
                </c:pt>
                <c:pt idx="3">
                  <c:v>0.27713496179907982</c:v>
                </c:pt>
                <c:pt idx="4">
                  <c:v>0.73131611194628043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E-4B64-AB0D-6CBD59C5A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0075120"/>
        <c:axId val="670073872"/>
      </c:barChart>
      <c:catAx>
        <c:axId val="67007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073872"/>
        <c:crosses val="autoZero"/>
        <c:auto val="1"/>
        <c:lblAlgn val="ctr"/>
        <c:lblOffset val="100"/>
        <c:noMultiLvlLbl val="0"/>
      </c:catAx>
      <c:valAx>
        <c:axId val="670073872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67007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2.xml"/><Relationship Id="rId18" Type="http://schemas.openxmlformats.org/officeDocument/2006/relationships/chart" Target="../charts/chart7.xml"/><Relationship Id="rId3" Type="http://schemas.openxmlformats.org/officeDocument/2006/relationships/hyperlink" Target="#Revenue!A1"/><Relationship Id="rId7" Type="http://schemas.openxmlformats.org/officeDocument/2006/relationships/hyperlink" Target="#data!A1"/><Relationship Id="rId12" Type="http://schemas.openxmlformats.org/officeDocument/2006/relationships/chart" Target="../charts/chart1.xml"/><Relationship Id="rId17" Type="http://schemas.openxmlformats.org/officeDocument/2006/relationships/chart" Target="../charts/chart6.xml"/><Relationship Id="rId2" Type="http://schemas.openxmlformats.org/officeDocument/2006/relationships/image" Target="../media/image1.png"/><Relationship Id="rId16" Type="http://schemas.openxmlformats.org/officeDocument/2006/relationships/chart" Target="../charts/chart5.xml"/><Relationship Id="rId20" Type="http://schemas.openxmlformats.org/officeDocument/2006/relationships/image" Target="../media/image7.jpeg"/><Relationship Id="rId1" Type="http://schemas.openxmlformats.org/officeDocument/2006/relationships/hyperlink" Target="https://www.linkedin.com/in/mustapha-ambali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hyperlink" Target="#Analysis!A1"/><Relationship Id="rId15" Type="http://schemas.openxmlformats.org/officeDocument/2006/relationships/chart" Target="../charts/chart4.xml"/><Relationship Id="rId10" Type="http://schemas.openxmlformats.org/officeDocument/2006/relationships/image" Target="../media/image5.png"/><Relationship Id="rId19" Type="http://schemas.openxmlformats.org/officeDocument/2006/relationships/chart" Target="../charts/chart8.xml"/><Relationship Id="rId4" Type="http://schemas.openxmlformats.org/officeDocument/2006/relationships/image" Target="../media/image2.png"/><Relationship Id="rId9" Type="http://schemas.openxmlformats.org/officeDocument/2006/relationships/hyperlink" Target="#'Profit Sustainability'!A1"/><Relationship Id="rId1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10.xml"/><Relationship Id="rId3" Type="http://schemas.openxmlformats.org/officeDocument/2006/relationships/hyperlink" Target="#Revenue!A1"/><Relationship Id="rId7" Type="http://schemas.openxmlformats.org/officeDocument/2006/relationships/hyperlink" Target="#data!A1"/><Relationship Id="rId12" Type="http://schemas.openxmlformats.org/officeDocument/2006/relationships/chart" Target="../charts/chart9.xml"/><Relationship Id="rId17" Type="http://schemas.openxmlformats.org/officeDocument/2006/relationships/image" Target="../media/image8.jpeg"/><Relationship Id="rId2" Type="http://schemas.openxmlformats.org/officeDocument/2006/relationships/image" Target="../media/image1.png"/><Relationship Id="rId16" Type="http://schemas.openxmlformats.org/officeDocument/2006/relationships/chart" Target="../charts/chart13.xml"/><Relationship Id="rId1" Type="http://schemas.openxmlformats.org/officeDocument/2006/relationships/hyperlink" Target="https://www.linkedin.com/in/mustapha-ambali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hyperlink" Target="#Analysis!A1"/><Relationship Id="rId15" Type="http://schemas.openxmlformats.org/officeDocument/2006/relationships/chart" Target="../charts/chart12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'Forecast Sheet'!A1"/><Relationship Id="rId1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image" Target="../media/image9.png"/><Relationship Id="rId6" Type="http://schemas.openxmlformats.org/officeDocument/2006/relationships/image" Target="../media/image4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34637</xdr:colOff>
      <xdr:row>6</xdr:row>
      <xdr:rowOff>7036</xdr:rowOff>
    </xdr:from>
    <xdr:to>
      <xdr:col>29</xdr:col>
      <xdr:colOff>192127</xdr:colOff>
      <xdr:row>48</xdr:row>
      <xdr:rowOff>173608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3F1F64-50DF-4064-8DDE-EE7A83FCD04B}"/>
            </a:ext>
          </a:extLst>
        </xdr:cNvPr>
        <xdr:cNvGrpSpPr/>
      </xdr:nvGrpSpPr>
      <xdr:grpSpPr>
        <a:xfrm>
          <a:off x="1241931" y="1081774"/>
          <a:ext cx="16501993" cy="7664334"/>
          <a:chOff x="1258455" y="1069218"/>
          <a:chExt cx="16679036" cy="7925117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EB374A5B-2A86-496F-AD7E-0E30C3DFC706}"/>
              </a:ext>
            </a:extLst>
          </xdr:cNvPr>
          <xdr:cNvSpPr/>
        </xdr:nvSpPr>
        <xdr:spPr>
          <a:xfrm>
            <a:off x="1258455" y="1069218"/>
            <a:ext cx="16679036" cy="7925117"/>
          </a:xfrm>
          <a:prstGeom prst="roundRect">
            <a:avLst>
              <a:gd name="adj" fmla="val 5663"/>
            </a:avLst>
          </a:prstGeom>
          <a:solidFill>
            <a:srgbClr val="1C1C1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3E572A7A-0702-44F0-9464-5D162B2406CA}"/>
              </a:ext>
            </a:extLst>
          </xdr:cNvPr>
          <xdr:cNvSpPr/>
        </xdr:nvSpPr>
        <xdr:spPr>
          <a:xfrm>
            <a:off x="2456078" y="1212495"/>
            <a:ext cx="15402334" cy="7660388"/>
          </a:xfrm>
          <a:prstGeom prst="roundRect">
            <a:avLst>
              <a:gd name="adj" fmla="val 4922"/>
            </a:avLst>
          </a:prstGeom>
          <a:solidFill>
            <a:srgbClr val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256118</xdr:colOff>
      <xdr:row>7</xdr:row>
      <xdr:rowOff>67730</xdr:rowOff>
    </xdr:from>
    <xdr:to>
      <xdr:col>10</xdr:col>
      <xdr:colOff>604310</xdr:colOff>
      <xdr:row>9</xdr:row>
      <xdr:rowOff>48682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8054AAA-6683-4DFF-909D-9DE191B9697B}"/>
            </a:ext>
          </a:extLst>
        </xdr:cNvPr>
        <xdr:cNvSpPr txBox="1"/>
      </xdr:nvSpPr>
      <xdr:spPr>
        <a:xfrm>
          <a:off x="2711451" y="1327147"/>
          <a:ext cx="4031192" cy="340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Revenue Performance</a:t>
          </a:r>
          <a:r>
            <a:rPr lang="en-US" sz="2000" b="1" baseline="0"/>
            <a:t> Overview</a:t>
          </a:r>
          <a:endParaRPr lang="en-US" sz="2000" b="1"/>
        </a:p>
      </xdr:txBody>
    </xdr:sp>
    <xdr:clientData/>
  </xdr:twoCellAnchor>
  <xdr:twoCellAnchor>
    <xdr:from>
      <xdr:col>4</xdr:col>
      <xdr:colOff>383118</xdr:colOff>
      <xdr:row>11</xdr:row>
      <xdr:rowOff>154516</xdr:rowOff>
    </xdr:from>
    <xdr:to>
      <xdr:col>10</xdr:col>
      <xdr:colOff>47625</xdr:colOff>
      <xdr:row>20</xdr:row>
      <xdr:rowOff>21166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7576F78-4BA2-4CA1-B6CC-984432E30749}"/>
            </a:ext>
          </a:extLst>
        </xdr:cNvPr>
        <xdr:cNvSpPr/>
      </xdr:nvSpPr>
      <xdr:spPr>
        <a:xfrm>
          <a:off x="2814261" y="2150230"/>
          <a:ext cx="3311221" cy="1499507"/>
        </a:xfrm>
        <a:prstGeom prst="roundRect">
          <a:avLst>
            <a:gd name="adj" fmla="val 12092"/>
          </a:avLst>
        </a:prstGeom>
        <a:solidFill>
          <a:srgbClr val="E5F1F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383118</xdr:colOff>
      <xdr:row>21</xdr:row>
      <xdr:rowOff>59264</xdr:rowOff>
    </xdr:from>
    <xdr:to>
      <xdr:col>15</xdr:col>
      <xdr:colOff>84667</xdr:colOff>
      <xdr:row>33</xdr:row>
      <xdr:rowOff>84666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8E2FE88-8CB5-466F-AD19-F314F618BB98}"/>
            </a:ext>
          </a:extLst>
        </xdr:cNvPr>
        <xdr:cNvSpPr/>
      </xdr:nvSpPr>
      <xdr:spPr>
        <a:xfrm>
          <a:off x="2838451" y="3837514"/>
          <a:ext cx="6453716" cy="2184402"/>
        </a:xfrm>
        <a:prstGeom prst="roundRect">
          <a:avLst>
            <a:gd name="adj" fmla="val 7079"/>
          </a:avLst>
        </a:prstGeom>
        <a:solidFill>
          <a:schemeClr val="bg1">
            <a:lumMod val="85000"/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264584</xdr:colOff>
      <xdr:row>21</xdr:row>
      <xdr:rowOff>59264</xdr:rowOff>
    </xdr:from>
    <xdr:to>
      <xdr:col>28</xdr:col>
      <xdr:colOff>312211</xdr:colOff>
      <xdr:row>46</xdr:row>
      <xdr:rowOff>169333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961BFBE-7B52-4B51-9436-F794EC901AFA}"/>
            </a:ext>
          </a:extLst>
        </xdr:cNvPr>
        <xdr:cNvSpPr/>
      </xdr:nvSpPr>
      <xdr:spPr>
        <a:xfrm>
          <a:off x="13768917" y="3837514"/>
          <a:ext cx="3730627" cy="4607986"/>
        </a:xfrm>
        <a:prstGeom prst="roundRect">
          <a:avLst>
            <a:gd name="adj" fmla="val 7079"/>
          </a:avLst>
        </a:prstGeom>
        <a:solidFill>
          <a:srgbClr val="1C1C1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481897</xdr:colOff>
      <xdr:row>11</xdr:row>
      <xdr:rowOff>154516</xdr:rowOff>
    </xdr:from>
    <xdr:to>
      <xdr:col>16</xdr:col>
      <xdr:colOff>124179</xdr:colOff>
      <xdr:row>20</xdr:row>
      <xdr:rowOff>30691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D4F0C7E-5DB4-4717-A8A8-CB44DEB1FBA5}"/>
            </a:ext>
          </a:extLst>
        </xdr:cNvPr>
        <xdr:cNvSpPr/>
      </xdr:nvSpPr>
      <xdr:spPr>
        <a:xfrm>
          <a:off x="6620230" y="2133599"/>
          <a:ext cx="3325282" cy="1495425"/>
        </a:xfrm>
        <a:prstGeom prst="roundRect">
          <a:avLst>
            <a:gd name="adj" fmla="val 12092"/>
          </a:avLst>
        </a:prstGeom>
        <a:solidFill>
          <a:srgbClr val="E5DE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558451</xdr:colOff>
      <xdr:row>11</xdr:row>
      <xdr:rowOff>154516</xdr:rowOff>
    </xdr:from>
    <xdr:to>
      <xdr:col>22</xdr:col>
      <xdr:colOff>219783</xdr:colOff>
      <xdr:row>20</xdr:row>
      <xdr:rowOff>30691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8C9F819-BEBC-4E12-900E-D2512BD26DFB}"/>
            </a:ext>
          </a:extLst>
        </xdr:cNvPr>
        <xdr:cNvSpPr/>
      </xdr:nvSpPr>
      <xdr:spPr>
        <a:xfrm>
          <a:off x="10379784" y="2133599"/>
          <a:ext cx="3344332" cy="1495425"/>
        </a:xfrm>
        <a:prstGeom prst="roundRect">
          <a:avLst>
            <a:gd name="adj" fmla="val 12092"/>
          </a:avLst>
        </a:prstGeom>
        <a:solidFill>
          <a:srgbClr val="D6EDD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40220</xdr:colOff>
      <xdr:row>11</xdr:row>
      <xdr:rowOff>154516</xdr:rowOff>
    </xdr:from>
    <xdr:to>
      <xdr:col>28</xdr:col>
      <xdr:colOff>315386</xdr:colOff>
      <xdr:row>20</xdr:row>
      <xdr:rowOff>30691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CD76FCE5-620B-40D5-A453-A361937D5C85}"/>
            </a:ext>
          </a:extLst>
        </xdr:cNvPr>
        <xdr:cNvSpPr/>
      </xdr:nvSpPr>
      <xdr:spPr>
        <a:xfrm>
          <a:off x="14158387" y="2133599"/>
          <a:ext cx="3344332" cy="1495425"/>
        </a:xfrm>
        <a:prstGeom prst="roundRect">
          <a:avLst>
            <a:gd name="adj" fmla="val 12092"/>
          </a:avLst>
        </a:prstGeom>
        <a:solidFill>
          <a:srgbClr val="F6F0D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475191</xdr:colOff>
      <xdr:row>21</xdr:row>
      <xdr:rowOff>59264</xdr:rowOff>
    </xdr:from>
    <xdr:to>
      <xdr:col>21</xdr:col>
      <xdr:colOff>516468</xdr:colOff>
      <xdr:row>46</xdr:row>
      <xdr:rowOff>169923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F659CAA-3AE3-4C30-8D90-96C25E8E4742}"/>
            </a:ext>
          </a:extLst>
        </xdr:cNvPr>
        <xdr:cNvSpPr/>
      </xdr:nvSpPr>
      <xdr:spPr>
        <a:xfrm>
          <a:off x="9682691" y="3837514"/>
          <a:ext cx="3724277" cy="4608576"/>
        </a:xfrm>
        <a:prstGeom prst="roundRect">
          <a:avLst>
            <a:gd name="adj" fmla="val 7079"/>
          </a:avLst>
        </a:prstGeom>
        <a:solidFill>
          <a:schemeClr val="bg1">
            <a:lumMod val="85000"/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344466</xdr:colOff>
      <xdr:row>34</xdr:row>
      <xdr:rowOff>143793</xdr:rowOff>
    </xdr:from>
    <xdr:to>
      <xdr:col>15</xdr:col>
      <xdr:colOff>36490</xdr:colOff>
      <xdr:row>46</xdr:row>
      <xdr:rowOff>166020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1A1A5BA-5397-4F8C-9853-E68F4E75C54C}"/>
            </a:ext>
          </a:extLst>
        </xdr:cNvPr>
        <xdr:cNvSpPr/>
      </xdr:nvSpPr>
      <xdr:spPr>
        <a:xfrm>
          <a:off x="2799799" y="6260960"/>
          <a:ext cx="6444191" cy="2181227"/>
        </a:xfrm>
        <a:prstGeom prst="roundRect">
          <a:avLst>
            <a:gd name="adj" fmla="val 7079"/>
          </a:avLst>
        </a:prstGeom>
        <a:solidFill>
          <a:schemeClr val="bg1">
            <a:lumMod val="85000"/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492879</xdr:colOff>
      <xdr:row>32</xdr:row>
      <xdr:rowOff>6350</xdr:rowOff>
    </xdr:from>
    <xdr:to>
      <xdr:col>3</xdr:col>
      <xdr:colOff>101335</xdr:colOff>
      <xdr:row>33</xdr:row>
      <xdr:rowOff>50223</xdr:rowOff>
    </xdr:to>
    <xdr:pic>
      <xdr:nvPicPr>
        <xdr:cNvPr id="21" name="Pictur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962726-4DA5-4356-99CF-A53C510D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 bright="70000" contrast="-70000"/>
        </a:blip>
        <a:stretch>
          <a:fillRect/>
        </a:stretch>
      </xdr:blipFill>
      <xdr:spPr>
        <a:xfrm>
          <a:off x="1716697" y="5917623"/>
          <a:ext cx="220365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446744</xdr:colOff>
      <xdr:row>20</xdr:row>
      <xdr:rowOff>124884</xdr:rowOff>
    </xdr:from>
    <xdr:to>
      <xdr:col>3</xdr:col>
      <xdr:colOff>55153</xdr:colOff>
      <xdr:row>21</xdr:row>
      <xdr:rowOff>168756</xdr:rowOff>
    </xdr:to>
    <xdr:pic>
      <xdr:nvPicPr>
        <xdr:cNvPr id="20" name="Pictur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29B3CB-1419-40F4-8A21-B7561B3B1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 bright="70000" contrast="-70000"/>
        </a:blip>
        <a:stretch>
          <a:fillRect/>
        </a:stretch>
      </xdr:blipFill>
      <xdr:spPr>
        <a:xfrm>
          <a:off x="1670562" y="3819429"/>
          <a:ext cx="220318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446695</xdr:colOff>
      <xdr:row>26</xdr:row>
      <xdr:rowOff>61010</xdr:rowOff>
    </xdr:from>
    <xdr:to>
      <xdr:col>3</xdr:col>
      <xdr:colOff>55153</xdr:colOff>
      <xdr:row>27</xdr:row>
      <xdr:rowOff>104883</xdr:rowOff>
    </xdr:to>
    <xdr:pic>
      <xdr:nvPicPr>
        <xdr:cNvPr id="22" name="Pictur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EF69E2-F8CC-4B7F-90DB-3669B2407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70000" contrast="-70000"/>
        </a:blip>
        <a:stretch>
          <a:fillRect/>
        </a:stretch>
      </xdr:blipFill>
      <xdr:spPr>
        <a:xfrm>
          <a:off x="1670513" y="4863919"/>
          <a:ext cx="220367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485657</xdr:colOff>
      <xdr:row>23</xdr:row>
      <xdr:rowOff>89933</xdr:rowOff>
    </xdr:from>
    <xdr:to>
      <xdr:col>3</xdr:col>
      <xdr:colOff>66698</xdr:colOff>
      <xdr:row>24</xdr:row>
      <xdr:rowOff>133805</xdr:rowOff>
    </xdr:to>
    <xdr:pic>
      <xdr:nvPicPr>
        <xdr:cNvPr id="24" name="Pictur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8AC6200-1A43-4AA4-B3D5-BC85A6F3B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lum bright="70000" contrast="-70000"/>
        </a:blip>
        <a:stretch>
          <a:fillRect/>
        </a:stretch>
      </xdr:blipFill>
      <xdr:spPr>
        <a:xfrm>
          <a:off x="1709475" y="4338660"/>
          <a:ext cx="1929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481333</xdr:colOff>
      <xdr:row>29</xdr:row>
      <xdr:rowOff>50994</xdr:rowOff>
    </xdr:from>
    <xdr:to>
      <xdr:col>3</xdr:col>
      <xdr:colOff>89789</xdr:colOff>
      <xdr:row>30</xdr:row>
      <xdr:rowOff>94867</xdr:rowOff>
    </xdr:to>
    <xdr:pic>
      <xdr:nvPicPr>
        <xdr:cNvPr id="23" name="Picture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67C8C4-7E40-4F7F-8382-286DEAD0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lum bright="70000" contrast="-70000"/>
        </a:blip>
        <a:stretch>
          <a:fillRect/>
        </a:stretch>
      </xdr:blipFill>
      <xdr:spPr>
        <a:xfrm>
          <a:off x="1705151" y="5408085"/>
          <a:ext cx="220365" cy="228600"/>
        </a:xfrm>
        <a:prstGeom prst="rect">
          <a:avLst/>
        </a:prstGeom>
      </xdr:spPr>
    </xdr:pic>
    <xdr:clientData/>
  </xdr:twoCellAnchor>
  <xdr:twoCellAnchor>
    <xdr:from>
      <xdr:col>2</xdr:col>
      <xdr:colOff>303071</xdr:colOff>
      <xdr:row>8</xdr:row>
      <xdr:rowOff>0</xdr:rowOff>
    </xdr:from>
    <xdr:to>
      <xdr:col>3</xdr:col>
      <xdr:colOff>334820</xdr:colOff>
      <xdr:row>11</xdr:row>
      <xdr:rowOff>129311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BF3DB612-268E-489A-9A1E-29C11A5B44F0}"/>
            </a:ext>
          </a:extLst>
        </xdr:cNvPr>
        <xdr:cNvSpPr/>
      </xdr:nvSpPr>
      <xdr:spPr>
        <a:xfrm>
          <a:off x="1526889" y="1477818"/>
          <a:ext cx="643658" cy="683493"/>
        </a:xfrm>
        <a:prstGeom prst="roundRect">
          <a:avLst>
            <a:gd name="adj" fmla="val 17953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468553</xdr:colOff>
      <xdr:row>5</xdr:row>
      <xdr:rowOff>69273</xdr:rowOff>
    </xdr:from>
    <xdr:to>
      <xdr:col>4</xdr:col>
      <xdr:colOff>207450</xdr:colOff>
      <xdr:row>14</xdr:row>
      <xdr:rowOff>33475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29B803-F974-494F-B3F3-539200FF2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62" y="992909"/>
          <a:ext cx="1574624" cy="1626748"/>
        </a:xfrm>
        <a:prstGeom prst="rect">
          <a:avLst/>
        </a:prstGeom>
      </xdr:spPr>
    </xdr:pic>
    <xdr:clientData/>
  </xdr:twoCellAnchor>
  <xdr:twoCellAnchor>
    <xdr:from>
      <xdr:col>4</xdr:col>
      <xdr:colOff>474871</xdr:colOff>
      <xdr:row>22</xdr:row>
      <xdr:rowOff>79145</xdr:rowOff>
    </xdr:from>
    <xdr:to>
      <xdr:col>14</xdr:col>
      <xdr:colOff>585306</xdr:colOff>
      <xdr:row>32</xdr:row>
      <xdr:rowOff>170714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CD48FB4-FE8F-4E5F-81C3-254F1667B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522940</xdr:colOff>
      <xdr:row>23</xdr:row>
      <xdr:rowOff>31750</xdr:rowOff>
    </xdr:from>
    <xdr:to>
      <xdr:col>21</xdr:col>
      <xdr:colOff>493058</xdr:colOff>
      <xdr:row>46</xdr:row>
      <xdr:rowOff>31750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65DA7116-1D4E-494E-BBD7-648EC8509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359836</xdr:colOff>
      <xdr:row>23</xdr:row>
      <xdr:rowOff>69273</xdr:rowOff>
    </xdr:from>
    <xdr:to>
      <xdr:col>28</xdr:col>
      <xdr:colOff>232835</xdr:colOff>
      <xdr:row>44</xdr:row>
      <xdr:rowOff>11545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1CD29F9-BBC1-4176-ACE8-5B5A7D51B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484909</xdr:colOff>
      <xdr:row>12</xdr:row>
      <xdr:rowOff>23093</xdr:rowOff>
    </xdr:from>
    <xdr:to>
      <xdr:col>6</xdr:col>
      <xdr:colOff>542636</xdr:colOff>
      <xdr:row>14</xdr:row>
      <xdr:rowOff>80818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6C810D4-6A45-4D4B-9081-13E017E29A09}"/>
            </a:ext>
          </a:extLst>
        </xdr:cNvPr>
        <xdr:cNvSpPr txBox="1"/>
      </xdr:nvSpPr>
      <xdr:spPr>
        <a:xfrm>
          <a:off x="2940242" y="2182093"/>
          <a:ext cx="1285394" cy="417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Revenue</a:t>
          </a:r>
          <a:endParaRPr lang="en-US" sz="1100" b="1"/>
        </a:p>
      </xdr:txBody>
    </xdr:sp>
    <xdr:clientData/>
  </xdr:twoCellAnchor>
  <xdr:twoCellAnchor>
    <xdr:from>
      <xdr:col>10</xdr:col>
      <xdr:colOff>575732</xdr:colOff>
      <xdr:row>12</xdr:row>
      <xdr:rowOff>23093</xdr:rowOff>
    </xdr:from>
    <xdr:to>
      <xdr:col>13</xdr:col>
      <xdr:colOff>21551</xdr:colOff>
      <xdr:row>14</xdr:row>
      <xdr:rowOff>80818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023E1E2-FBAF-4619-810F-F7E923C49E54}"/>
            </a:ext>
          </a:extLst>
        </xdr:cNvPr>
        <xdr:cNvSpPr txBox="1"/>
      </xdr:nvSpPr>
      <xdr:spPr>
        <a:xfrm>
          <a:off x="6694823" y="2239820"/>
          <a:ext cx="1281546" cy="42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Profits</a:t>
          </a:r>
          <a:endParaRPr lang="en-US" sz="1100" b="1"/>
        </a:p>
      </xdr:txBody>
    </xdr:sp>
    <xdr:clientData/>
  </xdr:twoCellAnchor>
  <xdr:twoCellAnchor>
    <xdr:from>
      <xdr:col>17</xdr:col>
      <xdr:colOff>43101</xdr:colOff>
      <xdr:row>12</xdr:row>
      <xdr:rowOff>23093</xdr:rowOff>
    </xdr:from>
    <xdr:to>
      <xdr:col>19</xdr:col>
      <xdr:colOff>237063</xdr:colOff>
      <xdr:row>14</xdr:row>
      <xdr:rowOff>60037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16B4446-1F9E-4094-A928-A134CAF21AE1}"/>
            </a:ext>
          </a:extLst>
        </xdr:cNvPr>
        <xdr:cNvSpPr txBox="1"/>
      </xdr:nvSpPr>
      <xdr:spPr>
        <a:xfrm>
          <a:off x="10445556" y="2239820"/>
          <a:ext cx="1417780" cy="406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Profit Margin</a:t>
          </a:r>
          <a:endParaRPr lang="en-US" sz="1100" b="1"/>
        </a:p>
      </xdr:txBody>
    </xdr:sp>
    <xdr:clientData/>
  </xdr:twoCellAnchor>
  <xdr:twoCellAnchor>
    <xdr:from>
      <xdr:col>23</xdr:col>
      <xdr:colOff>120075</xdr:colOff>
      <xdr:row>12</xdr:row>
      <xdr:rowOff>23093</xdr:rowOff>
    </xdr:from>
    <xdr:to>
      <xdr:col>25</xdr:col>
      <xdr:colOff>177803</xdr:colOff>
      <xdr:row>14</xdr:row>
      <xdr:rowOff>80818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AA25749-CBE8-4CB8-8302-8404348FB0D1}"/>
            </a:ext>
          </a:extLst>
        </xdr:cNvPr>
        <xdr:cNvSpPr txBox="1"/>
      </xdr:nvSpPr>
      <xdr:spPr>
        <a:xfrm>
          <a:off x="14193984" y="2239820"/>
          <a:ext cx="1281546" cy="42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Units Sold </a:t>
          </a:r>
          <a:endParaRPr lang="en-US" sz="1100" b="1"/>
        </a:p>
      </xdr:txBody>
    </xdr:sp>
    <xdr:clientData/>
  </xdr:twoCellAnchor>
  <xdr:twoCellAnchor>
    <xdr:from>
      <xdr:col>6</xdr:col>
      <xdr:colOff>371929</xdr:colOff>
      <xdr:row>13</xdr:row>
      <xdr:rowOff>163285</xdr:rowOff>
    </xdr:from>
    <xdr:to>
      <xdr:col>9</xdr:col>
      <xdr:colOff>589643</xdr:colOff>
      <xdr:row>19</xdr:row>
      <xdr:rowOff>136071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2FD2968C-A69E-4D45-8078-CBF9DDCC4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462642</xdr:colOff>
      <xdr:row>14</xdr:row>
      <xdr:rowOff>99786</xdr:rowOff>
    </xdr:from>
    <xdr:to>
      <xdr:col>16</xdr:col>
      <xdr:colOff>70612</xdr:colOff>
      <xdr:row>20</xdr:row>
      <xdr:rowOff>71919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B16350D6-F8DC-42B6-8DEE-7C9231EA5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9071</xdr:colOff>
      <xdr:row>14</xdr:row>
      <xdr:rowOff>136072</xdr:rowOff>
    </xdr:from>
    <xdr:to>
      <xdr:col>28</xdr:col>
      <xdr:colOff>224826</xdr:colOff>
      <xdr:row>20</xdr:row>
      <xdr:rowOff>108205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5EA1FF45-25B0-45B5-ADAE-6AC1B1215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562429</xdr:colOff>
      <xdr:row>14</xdr:row>
      <xdr:rowOff>81643</xdr:rowOff>
    </xdr:from>
    <xdr:to>
      <xdr:col>22</xdr:col>
      <xdr:colOff>170398</xdr:colOff>
      <xdr:row>20</xdr:row>
      <xdr:rowOff>53776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70DD9D7-B10C-4C71-BFA6-1EFD34CB2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484909</xdr:colOff>
      <xdr:row>21</xdr:row>
      <xdr:rowOff>169335</xdr:rowOff>
    </xdr:from>
    <xdr:to>
      <xdr:col>7</xdr:col>
      <xdr:colOff>359834</xdr:colOff>
      <xdr:row>23</xdr:row>
      <xdr:rowOff>148167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2A9307E-DDA5-47DE-BE66-709D23F657D3}"/>
            </a:ext>
          </a:extLst>
        </xdr:cNvPr>
        <xdr:cNvSpPr txBox="1"/>
      </xdr:nvSpPr>
      <xdr:spPr>
        <a:xfrm>
          <a:off x="2916052" y="3979335"/>
          <a:ext cx="1698282" cy="341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Revenue Trends</a:t>
          </a:r>
          <a:endParaRPr lang="en-US" sz="1100" b="1"/>
        </a:p>
      </xdr:txBody>
    </xdr:sp>
    <xdr:clientData/>
  </xdr:twoCellAnchor>
  <xdr:twoCellAnchor>
    <xdr:from>
      <xdr:col>15</xdr:col>
      <xdr:colOff>560926</xdr:colOff>
      <xdr:row>21</xdr:row>
      <xdr:rowOff>169335</xdr:rowOff>
    </xdr:from>
    <xdr:to>
      <xdr:col>17</xdr:col>
      <xdr:colOff>518593</xdr:colOff>
      <xdr:row>23</xdr:row>
      <xdr:rowOff>137585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6E7E961-5299-48A0-B5E8-FC1F5083A366}"/>
            </a:ext>
          </a:extLst>
        </xdr:cNvPr>
        <xdr:cNvSpPr txBox="1"/>
      </xdr:nvSpPr>
      <xdr:spPr>
        <a:xfrm>
          <a:off x="9768426" y="3947585"/>
          <a:ext cx="1185334" cy="328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Products</a:t>
          </a:r>
          <a:endParaRPr lang="en-US" sz="1100" b="1"/>
        </a:p>
      </xdr:txBody>
    </xdr:sp>
    <xdr:clientData/>
  </xdr:twoCellAnchor>
  <xdr:twoCellAnchor>
    <xdr:from>
      <xdr:col>22</xdr:col>
      <xdr:colOff>359836</xdr:colOff>
      <xdr:row>21</xdr:row>
      <xdr:rowOff>169335</xdr:rowOff>
    </xdr:from>
    <xdr:to>
      <xdr:col>25</xdr:col>
      <xdr:colOff>296336</xdr:colOff>
      <xdr:row>24</xdr:row>
      <xdr:rowOff>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942B62C-B17D-4B9B-84E3-47C7BEAFD5D5}"/>
            </a:ext>
          </a:extLst>
        </xdr:cNvPr>
        <xdr:cNvSpPr txBox="1"/>
      </xdr:nvSpPr>
      <xdr:spPr>
        <a:xfrm>
          <a:off x="13864169" y="3947585"/>
          <a:ext cx="1778000" cy="370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85000"/>
                </a:schemeClr>
              </a:solidFill>
            </a:rPr>
            <a:t>Market</a:t>
          </a:r>
          <a:r>
            <a:rPr lang="en-US" sz="1600" b="1" baseline="0">
              <a:solidFill>
                <a:schemeClr val="bg1">
                  <a:lumMod val="85000"/>
                </a:schemeClr>
              </a:solidFill>
            </a:rPr>
            <a:t> Segment</a:t>
          </a:r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4</xdr:col>
      <xdr:colOff>535215</xdr:colOff>
      <xdr:row>35</xdr:row>
      <xdr:rowOff>124388</xdr:rowOff>
    </xdr:from>
    <xdr:to>
      <xdr:col>14</xdr:col>
      <xdr:colOff>399143</xdr:colOff>
      <xdr:row>46</xdr:row>
      <xdr:rowOff>127000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484B954E-4113-4371-8813-2F7D56A3F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484909</xdr:colOff>
      <xdr:row>35</xdr:row>
      <xdr:rowOff>45356</xdr:rowOff>
    </xdr:from>
    <xdr:to>
      <xdr:col>8</xdr:col>
      <xdr:colOff>212766</xdr:colOff>
      <xdr:row>37</xdr:row>
      <xdr:rowOff>27214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6143ADE-39D7-4FDD-A160-75CF41EB3FD1}"/>
            </a:ext>
          </a:extLst>
        </xdr:cNvPr>
        <xdr:cNvSpPr txBox="1"/>
      </xdr:nvSpPr>
      <xdr:spPr>
        <a:xfrm>
          <a:off x="2916052" y="6395356"/>
          <a:ext cx="2159000" cy="344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Regional Perfromance</a:t>
          </a:r>
          <a:endParaRPr lang="en-US" sz="1100" b="1"/>
        </a:p>
      </xdr:txBody>
    </xdr:sp>
    <xdr:clientData/>
  </xdr:twoCellAnchor>
  <xdr:twoCellAnchor>
    <xdr:from>
      <xdr:col>4</xdr:col>
      <xdr:colOff>404091</xdr:colOff>
      <xdr:row>14</xdr:row>
      <xdr:rowOff>103908</xdr:rowOff>
    </xdr:from>
    <xdr:to>
      <xdr:col>7</xdr:col>
      <xdr:colOff>80816</xdr:colOff>
      <xdr:row>17</xdr:row>
      <xdr:rowOff>103908</xdr:rowOff>
    </xdr:to>
    <xdr:sp macro="" textlink="Analysis!B5">
      <xdr:nvSpPr>
        <xdr:cNvPr id="71" name="TextBox 70">
          <a:extLst>
            <a:ext uri="{FF2B5EF4-FFF2-40B4-BE49-F238E27FC236}">
              <a16:creationId xmlns:a16="http://schemas.microsoft.com/office/drawing/2014/main" id="{2CBDD36C-931E-4EE5-A378-C0AC06576F6C}"/>
            </a:ext>
          </a:extLst>
        </xdr:cNvPr>
        <xdr:cNvSpPr txBox="1"/>
      </xdr:nvSpPr>
      <xdr:spPr>
        <a:xfrm>
          <a:off x="2851727" y="2690090"/>
          <a:ext cx="1512453" cy="554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B60D788-FDE6-40D9-8DD9-73BBD32BFB97}" type="TxLink">
            <a:rPr lang="en-US" sz="2400" b="1" i="0" u="none" strike="noStrike">
              <a:solidFill>
                <a:srgbClr val="000000"/>
              </a:solidFill>
              <a:latin typeface="Candara" panose="020E0502030303020204" pitchFamily="34" charset="0"/>
              <a:ea typeface="Cambria Math" panose="02040503050406030204" pitchFamily="18" charset="0"/>
              <a:cs typeface="Calibri"/>
            </a:rPr>
            <a:pPr algn="ctr"/>
            <a:t>$118.73M</a:t>
          </a:fld>
          <a:endParaRPr lang="en-US" sz="3600" b="1">
            <a:latin typeface="Candara" panose="020E0502030303020204" pitchFamily="34" charset="0"/>
            <a:ea typeface="Cambria Math" panose="02040503050406030204" pitchFamily="18" charset="0"/>
          </a:endParaRPr>
        </a:p>
      </xdr:txBody>
    </xdr:sp>
    <xdr:clientData/>
  </xdr:twoCellAnchor>
  <xdr:twoCellAnchor>
    <xdr:from>
      <xdr:col>10</xdr:col>
      <xdr:colOff>498763</xdr:colOff>
      <xdr:row>14</xdr:row>
      <xdr:rowOff>103908</xdr:rowOff>
    </xdr:from>
    <xdr:to>
      <xdr:col>13</xdr:col>
      <xdr:colOff>175489</xdr:colOff>
      <xdr:row>17</xdr:row>
      <xdr:rowOff>103908</xdr:rowOff>
    </xdr:to>
    <xdr:sp macro="" textlink="Analysis!C5">
      <xdr:nvSpPr>
        <xdr:cNvPr id="58" name="TextBox 57">
          <a:extLst>
            <a:ext uri="{FF2B5EF4-FFF2-40B4-BE49-F238E27FC236}">
              <a16:creationId xmlns:a16="http://schemas.microsoft.com/office/drawing/2014/main" id="{3B501202-9565-4DF3-93D8-B3EA1ED119F7}"/>
            </a:ext>
          </a:extLst>
        </xdr:cNvPr>
        <xdr:cNvSpPr txBox="1"/>
      </xdr:nvSpPr>
      <xdr:spPr>
        <a:xfrm>
          <a:off x="6617854" y="2690090"/>
          <a:ext cx="1512453" cy="554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3EF375A-D492-4B5C-B2DC-E16C7299D394}" type="TxLink">
            <a:rPr lang="en-US" sz="2400" b="1" i="0" u="none" strike="noStrike">
              <a:solidFill>
                <a:srgbClr val="000000"/>
              </a:solidFill>
              <a:latin typeface="Candara" panose="020E0502030303020204" pitchFamily="34" charset="0"/>
              <a:ea typeface="Calibri"/>
              <a:cs typeface="Calibri"/>
            </a:rPr>
            <a:pPr algn="ctr"/>
            <a:t>$16.89M</a:t>
          </a:fld>
          <a:endParaRPr lang="en-US" sz="6600" b="1">
            <a:latin typeface="Candara" panose="020E0502030303020204" pitchFamily="34" charset="0"/>
            <a:ea typeface="Cambria Math" panose="02040503050406030204" pitchFamily="18" charset="0"/>
          </a:endParaRPr>
        </a:p>
      </xdr:txBody>
    </xdr:sp>
    <xdr:clientData/>
  </xdr:twoCellAnchor>
  <xdr:twoCellAnchor>
    <xdr:from>
      <xdr:col>16</xdr:col>
      <xdr:colOff>570345</xdr:colOff>
      <xdr:row>14</xdr:row>
      <xdr:rowOff>103908</xdr:rowOff>
    </xdr:from>
    <xdr:to>
      <xdr:col>19</xdr:col>
      <xdr:colOff>247070</xdr:colOff>
      <xdr:row>17</xdr:row>
      <xdr:rowOff>103908</xdr:rowOff>
    </xdr:to>
    <xdr:sp macro="" textlink="Analysis!D5">
      <xdr:nvSpPr>
        <xdr:cNvPr id="72" name="TextBox 71">
          <a:extLst>
            <a:ext uri="{FF2B5EF4-FFF2-40B4-BE49-F238E27FC236}">
              <a16:creationId xmlns:a16="http://schemas.microsoft.com/office/drawing/2014/main" id="{E36A54C1-5CF9-403B-A18F-694B108E7F37}"/>
            </a:ext>
          </a:extLst>
        </xdr:cNvPr>
        <xdr:cNvSpPr txBox="1"/>
      </xdr:nvSpPr>
      <xdr:spPr>
        <a:xfrm>
          <a:off x="10360890" y="2690090"/>
          <a:ext cx="1512453" cy="554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903192B-C83A-4BDA-905B-2ED4FDB570D9}" type="TxLink">
            <a:rPr lang="en-US" sz="2400" b="1" i="0" u="none" strike="noStrike">
              <a:solidFill>
                <a:srgbClr val="000000"/>
              </a:solidFill>
              <a:latin typeface="Candara" panose="020E0502030303020204" pitchFamily="34" charset="0"/>
              <a:ea typeface="Calibri"/>
              <a:cs typeface="Calibri"/>
            </a:rPr>
            <a:pPr algn="ctr"/>
            <a:t>14.23%</a:t>
          </a:fld>
          <a:endParaRPr lang="en-US" sz="6600" b="1">
            <a:latin typeface="Candara" panose="020E0502030303020204" pitchFamily="34" charset="0"/>
            <a:ea typeface="Cambria Math" panose="02040503050406030204" pitchFamily="18" charset="0"/>
          </a:endParaRPr>
        </a:p>
      </xdr:txBody>
    </xdr:sp>
    <xdr:clientData/>
  </xdr:twoCellAnchor>
  <xdr:twoCellAnchor>
    <xdr:from>
      <xdr:col>23</xdr:col>
      <xdr:colOff>76199</xdr:colOff>
      <xdr:row>14</xdr:row>
      <xdr:rowOff>103908</xdr:rowOff>
    </xdr:from>
    <xdr:to>
      <xdr:col>25</xdr:col>
      <xdr:colOff>364834</xdr:colOff>
      <xdr:row>17</xdr:row>
      <xdr:rowOff>103908</xdr:rowOff>
    </xdr:to>
    <xdr:sp macro="" textlink="Analysis!E5">
      <xdr:nvSpPr>
        <xdr:cNvPr id="73" name="TextBox 72">
          <a:extLst>
            <a:ext uri="{FF2B5EF4-FFF2-40B4-BE49-F238E27FC236}">
              <a16:creationId xmlns:a16="http://schemas.microsoft.com/office/drawing/2014/main" id="{31068CCF-7930-4AFA-87D9-078B6883833F}"/>
            </a:ext>
          </a:extLst>
        </xdr:cNvPr>
        <xdr:cNvSpPr txBox="1"/>
      </xdr:nvSpPr>
      <xdr:spPr>
        <a:xfrm>
          <a:off x="14150108" y="2690090"/>
          <a:ext cx="1512453" cy="554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CA5AD86-A907-49F4-8383-62F511AEA602}" type="TxLink">
            <a:rPr lang="en-US" sz="2400" b="1" i="0" u="none" strike="noStrike">
              <a:solidFill>
                <a:srgbClr val="000000"/>
              </a:solidFill>
              <a:latin typeface="Candara" panose="020E0502030303020204" pitchFamily="34" charset="0"/>
              <a:ea typeface="Calibri"/>
              <a:cs typeface="Calibri"/>
            </a:rPr>
            <a:pPr algn="ctr"/>
            <a:t>1.13M</a:t>
          </a:fld>
          <a:endParaRPr lang="en-US" sz="6600" b="1">
            <a:latin typeface="Candara" panose="020E0502030303020204" pitchFamily="34" charset="0"/>
            <a:ea typeface="Cambria Math" panose="02040503050406030204" pitchFamily="18" charset="0"/>
          </a:endParaRPr>
        </a:p>
      </xdr:txBody>
    </xdr:sp>
    <xdr:clientData/>
  </xdr:twoCellAnchor>
  <xdr:twoCellAnchor>
    <xdr:from>
      <xdr:col>22</xdr:col>
      <xdr:colOff>404090</xdr:colOff>
      <xdr:row>44</xdr:row>
      <xdr:rowOff>69274</xdr:rowOff>
    </xdr:from>
    <xdr:to>
      <xdr:col>27</xdr:col>
      <xdr:colOff>127001</xdr:colOff>
      <xdr:row>46</xdr:row>
      <xdr:rowOff>103909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9EF0B90-65FB-4B9B-9BDF-2247196EC954}"/>
            </a:ext>
          </a:extLst>
        </xdr:cNvPr>
        <xdr:cNvSpPr txBox="1"/>
      </xdr:nvSpPr>
      <xdr:spPr>
        <a:xfrm>
          <a:off x="13866090" y="8197274"/>
          <a:ext cx="2782456" cy="404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t>High</a:t>
          </a:r>
          <a:r>
            <a:rPr lang="en-US" sz="1400" b="0" i="0" u="none" strike="noStrike" baseline="0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t> dependency risk identified.</a:t>
          </a:r>
          <a:endParaRPr lang="en-US" sz="1400" b="0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27</xdr:col>
      <xdr:colOff>80820</xdr:colOff>
      <xdr:row>7</xdr:row>
      <xdr:rowOff>55443</xdr:rowOff>
    </xdr:from>
    <xdr:to>
      <xdr:col>28</xdr:col>
      <xdr:colOff>127000</xdr:colOff>
      <xdr:row>11</xdr:row>
      <xdr:rowOff>20783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2E06737-C851-4E74-A7B9-14FFD2357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02365" y="1348534"/>
          <a:ext cx="658090" cy="704249"/>
        </a:xfrm>
        <a:prstGeom prst="flowChartConnector">
          <a:avLst/>
        </a:prstGeom>
      </xdr:spPr>
    </xdr:pic>
    <xdr:clientData/>
  </xdr:twoCellAnchor>
  <xdr:twoCellAnchor>
    <xdr:from>
      <xdr:col>24</xdr:col>
      <xdr:colOff>381000</xdr:colOff>
      <xdr:row>7</xdr:row>
      <xdr:rowOff>161636</xdr:rowOff>
    </xdr:from>
    <xdr:to>
      <xdr:col>27</xdr:col>
      <xdr:colOff>127000</xdr:colOff>
      <xdr:row>10</xdr:row>
      <xdr:rowOff>161637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BF74C3E-ABD8-4AE2-BE4E-A4C139B4576C}"/>
            </a:ext>
          </a:extLst>
        </xdr:cNvPr>
        <xdr:cNvSpPr txBox="1"/>
      </xdr:nvSpPr>
      <xdr:spPr>
        <a:xfrm>
          <a:off x="15066818" y="1454727"/>
          <a:ext cx="1581727" cy="554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3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Mustapha</a:t>
          </a:r>
          <a:r>
            <a:rPr lang="en-US" sz="13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 Ambali</a:t>
          </a:r>
        </a:p>
        <a:p>
          <a:pPr algn="l"/>
          <a:r>
            <a:rPr lang="en-US" sz="1300" b="0" i="1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Data Analyst</a:t>
          </a:r>
          <a:endParaRPr lang="en-US" sz="1300" b="0" i="1" u="none" strike="noStrike">
            <a:solidFill>
              <a:schemeClr val="tx1">
                <a:lumMod val="65000"/>
                <a:lumOff val="3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28865</xdr:colOff>
      <xdr:row>5</xdr:row>
      <xdr:rowOff>145582</xdr:rowOff>
    </xdr:from>
    <xdr:to>
      <xdr:col>29</xdr:col>
      <xdr:colOff>188280</xdr:colOff>
      <xdr:row>48</xdr:row>
      <xdr:rowOff>127426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25F68F52-E622-4CAF-B6D5-10FFD90B08E2}"/>
            </a:ext>
          </a:extLst>
        </xdr:cNvPr>
        <xdr:cNvGrpSpPr/>
      </xdr:nvGrpSpPr>
      <xdr:grpSpPr>
        <a:xfrm>
          <a:off x="1244890" y="1047282"/>
          <a:ext cx="16621790" cy="7763769"/>
          <a:chOff x="1258455" y="1069218"/>
          <a:chExt cx="16679036" cy="7925117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5991B432-37E6-4A76-A8E8-7853D4BF70DB}"/>
              </a:ext>
            </a:extLst>
          </xdr:cNvPr>
          <xdr:cNvSpPr/>
        </xdr:nvSpPr>
        <xdr:spPr>
          <a:xfrm>
            <a:off x="1258455" y="1069218"/>
            <a:ext cx="16679036" cy="7925117"/>
          </a:xfrm>
          <a:prstGeom prst="roundRect">
            <a:avLst>
              <a:gd name="adj" fmla="val 5663"/>
            </a:avLst>
          </a:prstGeom>
          <a:solidFill>
            <a:srgbClr val="1C1C1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480E9B09-A1EC-4598-A8C8-8925DCA5F735}"/>
              </a:ext>
            </a:extLst>
          </xdr:cNvPr>
          <xdr:cNvSpPr/>
        </xdr:nvSpPr>
        <xdr:spPr>
          <a:xfrm>
            <a:off x="2409896" y="1212495"/>
            <a:ext cx="15402334" cy="7660388"/>
          </a:xfrm>
          <a:prstGeom prst="roundRect">
            <a:avLst>
              <a:gd name="adj" fmla="val 4922"/>
            </a:avLst>
          </a:prstGeom>
          <a:solidFill>
            <a:srgbClr val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256118</xdr:colOff>
      <xdr:row>7</xdr:row>
      <xdr:rowOff>67729</xdr:rowOff>
    </xdr:from>
    <xdr:to>
      <xdr:col>12</xdr:col>
      <xdr:colOff>519546</xdr:colOff>
      <xdr:row>9</xdr:row>
      <xdr:rowOff>69272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E6D923-CBAE-41FB-BCDA-543615192650}"/>
            </a:ext>
          </a:extLst>
        </xdr:cNvPr>
        <xdr:cNvSpPr txBox="1"/>
      </xdr:nvSpPr>
      <xdr:spPr>
        <a:xfrm>
          <a:off x="2703754" y="1360820"/>
          <a:ext cx="5158701" cy="3709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Profit</a:t>
          </a:r>
          <a:r>
            <a:rPr lang="en-US" sz="2000" b="1" baseline="0"/>
            <a:t> Sustainability &amp;  Margin Risk Assessment</a:t>
          </a:r>
          <a:endParaRPr lang="en-US" sz="2000" b="1"/>
        </a:p>
      </xdr:txBody>
    </xdr:sp>
    <xdr:clientData/>
  </xdr:twoCellAnchor>
  <xdr:twoCellAnchor>
    <xdr:from>
      <xdr:col>4</xdr:col>
      <xdr:colOff>383118</xdr:colOff>
      <xdr:row>11</xdr:row>
      <xdr:rowOff>154516</xdr:rowOff>
    </xdr:from>
    <xdr:to>
      <xdr:col>10</xdr:col>
      <xdr:colOff>47625</xdr:colOff>
      <xdr:row>20</xdr:row>
      <xdr:rowOff>21166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D6F5E83-F93F-410A-88A8-7F8D88E119C0}"/>
            </a:ext>
          </a:extLst>
        </xdr:cNvPr>
        <xdr:cNvSpPr/>
      </xdr:nvSpPr>
      <xdr:spPr>
        <a:xfrm>
          <a:off x="2821518" y="2180166"/>
          <a:ext cx="3322107" cy="1524000"/>
        </a:xfrm>
        <a:prstGeom prst="roundRect">
          <a:avLst>
            <a:gd name="adj" fmla="val 12092"/>
          </a:avLst>
        </a:prstGeom>
        <a:solidFill>
          <a:srgbClr val="E5F1F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383118</xdr:colOff>
      <xdr:row>21</xdr:row>
      <xdr:rowOff>59264</xdr:rowOff>
    </xdr:from>
    <xdr:to>
      <xdr:col>15</xdr:col>
      <xdr:colOff>84667</xdr:colOff>
      <xdr:row>33</xdr:row>
      <xdr:rowOff>152794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31FAE2F-7416-45F2-BD8E-C3143DE01A7C}"/>
            </a:ext>
          </a:extLst>
        </xdr:cNvPr>
        <xdr:cNvSpPr/>
      </xdr:nvSpPr>
      <xdr:spPr>
        <a:xfrm>
          <a:off x="2834513" y="3935717"/>
          <a:ext cx="6442887" cy="2308647"/>
        </a:xfrm>
        <a:prstGeom prst="roundRect">
          <a:avLst>
            <a:gd name="adj" fmla="val 7079"/>
          </a:avLst>
        </a:prstGeom>
        <a:solidFill>
          <a:schemeClr val="bg1">
            <a:lumMod val="85000"/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264584</xdr:colOff>
      <xdr:row>34</xdr:row>
      <xdr:rowOff>136072</xdr:rowOff>
    </xdr:from>
    <xdr:to>
      <xdr:col>28</xdr:col>
      <xdr:colOff>312211</xdr:colOff>
      <xdr:row>46</xdr:row>
      <xdr:rowOff>169333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DAC37F5-B0B4-450F-85E3-71751294AD44}"/>
            </a:ext>
          </a:extLst>
        </xdr:cNvPr>
        <xdr:cNvSpPr/>
      </xdr:nvSpPr>
      <xdr:spPr>
        <a:xfrm>
          <a:off x="13635870" y="6304643"/>
          <a:ext cx="3694341" cy="2210404"/>
        </a:xfrm>
        <a:prstGeom prst="roundRect">
          <a:avLst>
            <a:gd name="adj" fmla="val 7079"/>
          </a:avLst>
        </a:prstGeom>
        <a:solidFill>
          <a:srgbClr val="1C1C1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481897</xdr:colOff>
      <xdr:row>11</xdr:row>
      <xdr:rowOff>154516</xdr:rowOff>
    </xdr:from>
    <xdr:to>
      <xdr:col>16</xdr:col>
      <xdr:colOff>124179</xdr:colOff>
      <xdr:row>20</xdr:row>
      <xdr:rowOff>30691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2A3EA5E-138B-45EF-814B-F72B4B353666}"/>
            </a:ext>
          </a:extLst>
        </xdr:cNvPr>
        <xdr:cNvSpPr/>
      </xdr:nvSpPr>
      <xdr:spPr>
        <a:xfrm>
          <a:off x="6577897" y="2180166"/>
          <a:ext cx="3299882" cy="1533525"/>
        </a:xfrm>
        <a:prstGeom prst="roundRect">
          <a:avLst>
            <a:gd name="adj" fmla="val 12092"/>
          </a:avLst>
        </a:prstGeom>
        <a:solidFill>
          <a:srgbClr val="E5DE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558451</xdr:colOff>
      <xdr:row>11</xdr:row>
      <xdr:rowOff>154516</xdr:rowOff>
    </xdr:from>
    <xdr:to>
      <xdr:col>22</xdr:col>
      <xdr:colOff>219783</xdr:colOff>
      <xdr:row>20</xdr:row>
      <xdr:rowOff>30691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5881FB6-FC3F-4B12-879F-4368886C5368}"/>
            </a:ext>
          </a:extLst>
        </xdr:cNvPr>
        <xdr:cNvSpPr/>
      </xdr:nvSpPr>
      <xdr:spPr>
        <a:xfrm>
          <a:off x="10312051" y="2180166"/>
          <a:ext cx="3318932" cy="1533525"/>
        </a:xfrm>
        <a:prstGeom prst="roundRect">
          <a:avLst>
            <a:gd name="adj" fmla="val 12092"/>
          </a:avLst>
        </a:prstGeom>
        <a:solidFill>
          <a:srgbClr val="D6EDD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40220</xdr:colOff>
      <xdr:row>11</xdr:row>
      <xdr:rowOff>154516</xdr:rowOff>
    </xdr:from>
    <xdr:to>
      <xdr:col>28</xdr:col>
      <xdr:colOff>315386</xdr:colOff>
      <xdr:row>20</xdr:row>
      <xdr:rowOff>30691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37FE371-DD80-45AB-AE23-1E3B26AB791F}"/>
            </a:ext>
          </a:extLst>
        </xdr:cNvPr>
        <xdr:cNvSpPr/>
      </xdr:nvSpPr>
      <xdr:spPr>
        <a:xfrm>
          <a:off x="14061020" y="2180166"/>
          <a:ext cx="3323166" cy="1533525"/>
        </a:xfrm>
        <a:prstGeom prst="roundRect">
          <a:avLst>
            <a:gd name="adj" fmla="val 12092"/>
          </a:avLst>
        </a:prstGeom>
        <a:solidFill>
          <a:srgbClr val="F6F0D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492879</xdr:colOff>
      <xdr:row>32</xdr:row>
      <xdr:rowOff>6350</xdr:rowOff>
    </xdr:from>
    <xdr:to>
      <xdr:col>3</xdr:col>
      <xdr:colOff>101335</xdr:colOff>
      <xdr:row>33</xdr:row>
      <xdr:rowOff>50223</xdr:rowOff>
    </xdr:to>
    <xdr:pic>
      <xdr:nvPicPr>
        <xdr:cNvPr id="13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F3C53B-F9A0-453C-AF68-AAA232417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 bright="70000" contrast="-70000"/>
        </a:blip>
        <a:stretch>
          <a:fillRect/>
        </a:stretch>
      </xdr:blipFill>
      <xdr:spPr>
        <a:xfrm>
          <a:off x="1712079" y="5899150"/>
          <a:ext cx="218056" cy="228023"/>
        </a:xfrm>
        <a:prstGeom prst="rect">
          <a:avLst/>
        </a:prstGeom>
      </xdr:spPr>
    </xdr:pic>
    <xdr:clientData/>
  </xdr:twoCellAnchor>
  <xdr:twoCellAnchor editAs="oneCell">
    <xdr:from>
      <xdr:col>2</xdr:col>
      <xdr:colOff>446744</xdr:colOff>
      <xdr:row>20</xdr:row>
      <xdr:rowOff>124884</xdr:rowOff>
    </xdr:from>
    <xdr:to>
      <xdr:col>3</xdr:col>
      <xdr:colOff>55153</xdr:colOff>
      <xdr:row>21</xdr:row>
      <xdr:rowOff>168756</xdr:rowOff>
    </xdr:to>
    <xdr:pic>
      <xdr:nvPicPr>
        <xdr:cNvPr id="14" name="Picture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F1A6F9-655C-4442-8718-D7B457D54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 bright="70000" contrast="-70000"/>
        </a:blip>
        <a:stretch>
          <a:fillRect/>
        </a:stretch>
      </xdr:blipFill>
      <xdr:spPr>
        <a:xfrm>
          <a:off x="1665944" y="3807884"/>
          <a:ext cx="218009" cy="228022"/>
        </a:xfrm>
        <a:prstGeom prst="rect">
          <a:avLst/>
        </a:prstGeom>
      </xdr:spPr>
    </xdr:pic>
    <xdr:clientData/>
  </xdr:twoCellAnchor>
  <xdr:twoCellAnchor editAs="oneCell">
    <xdr:from>
      <xdr:col>2</xdr:col>
      <xdr:colOff>446695</xdr:colOff>
      <xdr:row>26</xdr:row>
      <xdr:rowOff>61010</xdr:rowOff>
    </xdr:from>
    <xdr:to>
      <xdr:col>3</xdr:col>
      <xdr:colOff>55153</xdr:colOff>
      <xdr:row>27</xdr:row>
      <xdr:rowOff>104883</xdr:rowOff>
    </xdr:to>
    <xdr:pic>
      <xdr:nvPicPr>
        <xdr:cNvPr id="15" name="Pictur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08A66C-D6A2-4F89-9DFC-3A53F15FE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70000" contrast="-70000"/>
        </a:blip>
        <a:stretch>
          <a:fillRect/>
        </a:stretch>
      </xdr:blipFill>
      <xdr:spPr>
        <a:xfrm>
          <a:off x="1665895" y="4848910"/>
          <a:ext cx="218058" cy="228023"/>
        </a:xfrm>
        <a:prstGeom prst="rect">
          <a:avLst/>
        </a:prstGeom>
      </xdr:spPr>
    </xdr:pic>
    <xdr:clientData/>
  </xdr:twoCellAnchor>
  <xdr:twoCellAnchor editAs="oneCell">
    <xdr:from>
      <xdr:col>2</xdr:col>
      <xdr:colOff>485657</xdr:colOff>
      <xdr:row>23</xdr:row>
      <xdr:rowOff>89933</xdr:rowOff>
    </xdr:from>
    <xdr:to>
      <xdr:col>3</xdr:col>
      <xdr:colOff>66698</xdr:colOff>
      <xdr:row>24</xdr:row>
      <xdr:rowOff>133805</xdr:rowOff>
    </xdr:to>
    <xdr:pic>
      <xdr:nvPicPr>
        <xdr:cNvPr id="16" name="Picture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CC81564-B03D-4403-826C-7F3C2F442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lum bright="70000" contrast="-70000"/>
        </a:blip>
        <a:stretch>
          <a:fillRect/>
        </a:stretch>
      </xdr:blipFill>
      <xdr:spPr>
        <a:xfrm>
          <a:off x="1704857" y="4325383"/>
          <a:ext cx="190641" cy="228022"/>
        </a:xfrm>
        <a:prstGeom prst="rect">
          <a:avLst/>
        </a:prstGeom>
      </xdr:spPr>
    </xdr:pic>
    <xdr:clientData/>
  </xdr:twoCellAnchor>
  <xdr:twoCellAnchor editAs="oneCell">
    <xdr:from>
      <xdr:col>2</xdr:col>
      <xdr:colOff>481333</xdr:colOff>
      <xdr:row>29</xdr:row>
      <xdr:rowOff>50994</xdr:rowOff>
    </xdr:from>
    <xdr:to>
      <xdr:col>3</xdr:col>
      <xdr:colOff>89789</xdr:colOff>
      <xdr:row>30</xdr:row>
      <xdr:rowOff>94867</xdr:rowOff>
    </xdr:to>
    <xdr:pic>
      <xdr:nvPicPr>
        <xdr:cNvPr id="17" name="Picture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F9997B9-7107-4C00-BC2D-A34AEBD7A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lum bright="70000" contrast="-70000"/>
        </a:blip>
        <a:stretch>
          <a:fillRect/>
        </a:stretch>
      </xdr:blipFill>
      <xdr:spPr>
        <a:xfrm>
          <a:off x="1705151" y="5408085"/>
          <a:ext cx="220365" cy="228600"/>
        </a:xfrm>
        <a:prstGeom prst="rect">
          <a:avLst/>
        </a:prstGeom>
      </xdr:spPr>
    </xdr:pic>
    <xdr:clientData/>
  </xdr:twoCellAnchor>
  <xdr:twoCellAnchor>
    <xdr:from>
      <xdr:col>2</xdr:col>
      <xdr:colOff>303071</xdr:colOff>
      <xdr:row>8</xdr:row>
      <xdr:rowOff>0</xdr:rowOff>
    </xdr:from>
    <xdr:to>
      <xdr:col>3</xdr:col>
      <xdr:colOff>334820</xdr:colOff>
      <xdr:row>11</xdr:row>
      <xdr:rowOff>129311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6096C70-BF17-43C9-80F7-EA972BB834E4}"/>
            </a:ext>
          </a:extLst>
        </xdr:cNvPr>
        <xdr:cNvSpPr/>
      </xdr:nvSpPr>
      <xdr:spPr>
        <a:xfrm>
          <a:off x="1522271" y="1473200"/>
          <a:ext cx="641349" cy="681761"/>
        </a:xfrm>
        <a:prstGeom prst="roundRect">
          <a:avLst>
            <a:gd name="adj" fmla="val 17953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468553</xdr:colOff>
      <xdr:row>5</xdr:row>
      <xdr:rowOff>69273</xdr:rowOff>
    </xdr:from>
    <xdr:to>
      <xdr:col>4</xdr:col>
      <xdr:colOff>207450</xdr:colOff>
      <xdr:row>14</xdr:row>
      <xdr:rowOff>33475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73443DC-2278-432C-9D7A-34AFE98A2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153" y="990023"/>
          <a:ext cx="1567697" cy="1621552"/>
        </a:xfrm>
        <a:prstGeom prst="rect">
          <a:avLst/>
        </a:prstGeom>
      </xdr:spPr>
    </xdr:pic>
    <xdr:clientData/>
  </xdr:twoCellAnchor>
  <xdr:twoCellAnchor>
    <xdr:from>
      <xdr:col>4</xdr:col>
      <xdr:colOff>484909</xdr:colOff>
      <xdr:row>12</xdr:row>
      <xdr:rowOff>23093</xdr:rowOff>
    </xdr:from>
    <xdr:to>
      <xdr:col>9</xdr:col>
      <xdr:colOff>323273</xdr:colOff>
      <xdr:row>15</xdr:row>
      <xdr:rowOff>127000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1F0CBBA-189B-483C-B3EB-6E1F6FAB01D0}"/>
            </a:ext>
          </a:extLst>
        </xdr:cNvPr>
        <xdr:cNvSpPr txBox="1"/>
      </xdr:nvSpPr>
      <xdr:spPr>
        <a:xfrm>
          <a:off x="2932545" y="2239820"/>
          <a:ext cx="2897910" cy="658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% Profit</a:t>
          </a:r>
          <a:r>
            <a:rPr lang="en-US" sz="1600" b="1" baseline="0"/>
            <a:t> from Government Segment</a:t>
          </a:r>
          <a:endParaRPr lang="en-US" sz="1100" b="1"/>
        </a:p>
      </xdr:txBody>
    </xdr:sp>
    <xdr:clientData/>
  </xdr:twoCellAnchor>
  <xdr:twoCellAnchor>
    <xdr:from>
      <xdr:col>10</xdr:col>
      <xdr:colOff>575731</xdr:colOff>
      <xdr:row>12</xdr:row>
      <xdr:rowOff>23093</xdr:rowOff>
    </xdr:from>
    <xdr:to>
      <xdr:col>15</xdr:col>
      <xdr:colOff>550333</xdr:colOff>
      <xdr:row>15</xdr:row>
      <xdr:rowOff>169333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29929D9-FA65-40B8-B137-49EBEAC86C0C}"/>
            </a:ext>
          </a:extLst>
        </xdr:cNvPr>
        <xdr:cNvSpPr txBox="1"/>
      </xdr:nvSpPr>
      <xdr:spPr>
        <a:xfrm>
          <a:off x="6714064" y="2182093"/>
          <a:ext cx="3043769" cy="685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Loss</a:t>
          </a:r>
          <a:r>
            <a:rPr lang="en-US" sz="1600" b="1" baseline="0"/>
            <a:t>-Making  Segment Contribution</a:t>
          </a:r>
          <a:endParaRPr lang="en-US" sz="1100" b="1"/>
        </a:p>
      </xdr:txBody>
    </xdr:sp>
    <xdr:clientData/>
  </xdr:twoCellAnchor>
  <xdr:twoCellAnchor>
    <xdr:from>
      <xdr:col>17</xdr:col>
      <xdr:colOff>227821</xdr:colOff>
      <xdr:row>12</xdr:row>
      <xdr:rowOff>23093</xdr:rowOff>
    </xdr:from>
    <xdr:to>
      <xdr:col>21</xdr:col>
      <xdr:colOff>196265</xdr:colOff>
      <xdr:row>14</xdr:row>
      <xdr:rowOff>150091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A75EE6-41EE-48BF-B874-80B0AC5680F0}"/>
            </a:ext>
          </a:extLst>
        </xdr:cNvPr>
        <xdr:cNvSpPr txBox="1"/>
      </xdr:nvSpPr>
      <xdr:spPr>
        <a:xfrm>
          <a:off x="10630276" y="2239820"/>
          <a:ext cx="2416080" cy="496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Loss Product</a:t>
          </a:r>
          <a:r>
            <a:rPr lang="en-US" sz="1600" b="1" baseline="0"/>
            <a:t> Margin %</a:t>
          </a:r>
          <a:endParaRPr lang="en-US" sz="1100" b="1"/>
        </a:p>
      </xdr:txBody>
    </xdr:sp>
    <xdr:clientData/>
  </xdr:twoCellAnchor>
  <xdr:twoCellAnchor>
    <xdr:from>
      <xdr:col>23</xdr:col>
      <xdr:colOff>466425</xdr:colOff>
      <xdr:row>12</xdr:row>
      <xdr:rowOff>23092</xdr:rowOff>
    </xdr:from>
    <xdr:to>
      <xdr:col>27</xdr:col>
      <xdr:colOff>381000</xdr:colOff>
      <xdr:row>15</xdr:row>
      <xdr:rowOff>126999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F402FC5-49A1-4755-BF90-910BC3BC89A0}"/>
            </a:ext>
          </a:extLst>
        </xdr:cNvPr>
        <xdr:cNvSpPr txBox="1"/>
      </xdr:nvSpPr>
      <xdr:spPr>
        <a:xfrm>
          <a:off x="14584592" y="2182092"/>
          <a:ext cx="2369908" cy="643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Forecasted 6-Month</a:t>
          </a:r>
          <a:r>
            <a:rPr lang="en-US" sz="1600" b="1" baseline="0"/>
            <a:t> Growth %</a:t>
          </a:r>
          <a:endParaRPr lang="en-US" sz="1100" b="1"/>
        </a:p>
      </xdr:txBody>
    </xdr:sp>
    <xdr:clientData/>
  </xdr:twoCellAnchor>
  <xdr:twoCellAnchor>
    <xdr:from>
      <xdr:col>4</xdr:col>
      <xdr:colOff>484909</xdr:colOff>
      <xdr:row>21</xdr:row>
      <xdr:rowOff>105837</xdr:rowOff>
    </xdr:from>
    <xdr:to>
      <xdr:col>12</xdr:col>
      <xdr:colOff>52917</xdr:colOff>
      <xdr:row>23</xdr:row>
      <xdr:rowOff>10586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4ACB9C8-8CDC-44AD-A5A6-E82EBE9596FC}"/>
            </a:ext>
          </a:extLst>
        </xdr:cNvPr>
        <xdr:cNvSpPr txBox="1"/>
      </xdr:nvSpPr>
      <xdr:spPr>
        <a:xfrm>
          <a:off x="2940242" y="3884087"/>
          <a:ext cx="4478675" cy="264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Revenue Forecast &amp; Expected Trend Continuation</a:t>
          </a:r>
          <a:endParaRPr lang="en-US" sz="1100" b="1"/>
        </a:p>
      </xdr:txBody>
    </xdr:sp>
    <xdr:clientData/>
  </xdr:twoCellAnchor>
  <xdr:twoCellAnchor>
    <xdr:from>
      <xdr:col>15</xdr:col>
      <xdr:colOff>324665</xdr:colOff>
      <xdr:row>21</xdr:row>
      <xdr:rowOff>122763</xdr:rowOff>
    </xdr:from>
    <xdr:to>
      <xdr:col>21</xdr:col>
      <xdr:colOff>567662</xdr:colOff>
      <xdr:row>47</xdr:row>
      <xdr:rowOff>70883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FFE88C46-E976-491B-B608-F0AADE133755}"/>
            </a:ext>
          </a:extLst>
        </xdr:cNvPr>
        <xdr:cNvSpPr/>
      </xdr:nvSpPr>
      <xdr:spPr>
        <a:xfrm>
          <a:off x="9532165" y="3901013"/>
          <a:ext cx="3925997" cy="4625953"/>
        </a:xfrm>
        <a:prstGeom prst="roundRect">
          <a:avLst>
            <a:gd name="adj" fmla="val 7079"/>
          </a:avLst>
        </a:prstGeom>
        <a:solidFill>
          <a:schemeClr val="bg1">
            <a:lumMod val="85000"/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560925</xdr:colOff>
      <xdr:row>21</xdr:row>
      <xdr:rowOff>105837</xdr:rowOff>
    </xdr:from>
    <xdr:to>
      <xdr:col>20</xdr:col>
      <xdr:colOff>582083</xdr:colOff>
      <xdr:row>23</xdr:row>
      <xdr:rowOff>116417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B0A8C91-9DA2-4887-9EE4-CA50C7163A30}"/>
            </a:ext>
          </a:extLst>
        </xdr:cNvPr>
        <xdr:cNvSpPr txBox="1"/>
      </xdr:nvSpPr>
      <xdr:spPr>
        <a:xfrm>
          <a:off x="9768425" y="3884087"/>
          <a:ext cx="3090325" cy="370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Margin Quality Across Segments</a:t>
          </a:r>
          <a:endParaRPr lang="en-US" sz="1600" b="1">
            <a:effectLst/>
          </a:endParaRPr>
        </a:p>
        <a:p>
          <a:endParaRPr lang="en-US" sz="1600" b="1"/>
        </a:p>
      </xdr:txBody>
    </xdr:sp>
    <xdr:clientData/>
  </xdr:twoCellAnchor>
  <xdr:twoCellAnchor>
    <xdr:from>
      <xdr:col>4</xdr:col>
      <xdr:colOff>383118</xdr:colOff>
      <xdr:row>34</xdr:row>
      <xdr:rowOff>143932</xdr:rowOff>
    </xdr:from>
    <xdr:to>
      <xdr:col>15</xdr:col>
      <xdr:colOff>84667</xdr:colOff>
      <xdr:row>46</xdr:row>
      <xdr:rowOff>169333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ECB520B8-84B7-4053-86D7-3B6BAC5A7A19}"/>
            </a:ext>
          </a:extLst>
        </xdr:cNvPr>
        <xdr:cNvSpPr/>
      </xdr:nvSpPr>
      <xdr:spPr>
        <a:xfrm>
          <a:off x="2830754" y="6424659"/>
          <a:ext cx="6432549" cy="2242129"/>
        </a:xfrm>
        <a:prstGeom prst="roundRect">
          <a:avLst>
            <a:gd name="adj" fmla="val 7079"/>
          </a:avLst>
        </a:prstGeom>
        <a:solidFill>
          <a:schemeClr val="bg1">
            <a:lumMod val="85000"/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484909</xdr:colOff>
      <xdr:row>35</xdr:row>
      <xdr:rowOff>45356</xdr:rowOff>
    </xdr:from>
    <xdr:to>
      <xdr:col>9</xdr:col>
      <xdr:colOff>582083</xdr:colOff>
      <xdr:row>36</xdr:row>
      <xdr:rowOff>169333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DE81C28-A0B1-4775-B4B9-344BDF9C06FE}"/>
            </a:ext>
          </a:extLst>
        </xdr:cNvPr>
        <xdr:cNvSpPr txBox="1"/>
      </xdr:nvSpPr>
      <xdr:spPr>
        <a:xfrm>
          <a:off x="2940242" y="6342439"/>
          <a:ext cx="3166341" cy="3038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Margin</a:t>
          </a:r>
          <a:r>
            <a:rPr lang="en-US" sz="1600" b="1" baseline="0"/>
            <a:t> Performance by Product</a:t>
          </a:r>
          <a:endParaRPr lang="en-US" sz="1600" b="1"/>
        </a:p>
      </xdr:txBody>
    </xdr:sp>
    <xdr:clientData/>
  </xdr:twoCellAnchor>
  <xdr:twoCellAnchor>
    <xdr:from>
      <xdr:col>22</xdr:col>
      <xdr:colOff>264749</xdr:colOff>
      <xdr:row>21</xdr:row>
      <xdr:rowOff>59264</xdr:rowOff>
    </xdr:from>
    <xdr:to>
      <xdr:col>28</xdr:col>
      <xdr:colOff>312211</xdr:colOff>
      <xdr:row>33</xdr:row>
      <xdr:rowOff>94969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674BBCA3-BBD8-414F-9119-86DB351BC965}"/>
            </a:ext>
          </a:extLst>
        </xdr:cNvPr>
        <xdr:cNvSpPr/>
      </xdr:nvSpPr>
      <xdr:spPr>
        <a:xfrm>
          <a:off x="13636035" y="3869264"/>
          <a:ext cx="3694176" cy="2212848"/>
        </a:xfrm>
        <a:prstGeom prst="roundRect">
          <a:avLst>
            <a:gd name="adj" fmla="val 7079"/>
          </a:avLst>
        </a:prstGeom>
        <a:solidFill>
          <a:schemeClr val="bg1">
            <a:lumMod val="85000"/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370425</xdr:colOff>
      <xdr:row>21</xdr:row>
      <xdr:rowOff>105837</xdr:rowOff>
    </xdr:from>
    <xdr:to>
      <xdr:col>28</xdr:col>
      <xdr:colOff>211666</xdr:colOff>
      <xdr:row>24</xdr:row>
      <xdr:rowOff>116419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00ED55D-E46A-447A-8340-CD306900E36B}"/>
            </a:ext>
          </a:extLst>
        </xdr:cNvPr>
        <xdr:cNvSpPr txBox="1"/>
      </xdr:nvSpPr>
      <xdr:spPr>
        <a:xfrm>
          <a:off x="13874758" y="3884087"/>
          <a:ext cx="3524241" cy="550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Margin Compression Across Different</a:t>
          </a:r>
          <a:r>
            <a:rPr lang="en-US" sz="1400" b="1" baseline="0"/>
            <a:t> Discounts Levels</a:t>
          </a:r>
          <a:endParaRPr lang="en-US" sz="1050" b="1"/>
        </a:p>
      </xdr:txBody>
    </xdr:sp>
    <xdr:clientData/>
  </xdr:twoCellAnchor>
  <xdr:twoCellAnchor>
    <xdr:from>
      <xdr:col>22</xdr:col>
      <xdr:colOff>332327</xdr:colOff>
      <xdr:row>35</xdr:row>
      <xdr:rowOff>45356</xdr:rowOff>
    </xdr:from>
    <xdr:to>
      <xdr:col>24</xdr:col>
      <xdr:colOff>289994</xdr:colOff>
      <xdr:row>37</xdr:row>
      <xdr:rowOff>13605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0E63D8E-9916-40E5-8946-E8B4014E917A}"/>
            </a:ext>
          </a:extLst>
        </xdr:cNvPr>
        <xdr:cNvSpPr txBox="1"/>
      </xdr:nvSpPr>
      <xdr:spPr>
        <a:xfrm>
          <a:off x="13836660" y="6342439"/>
          <a:ext cx="1185334" cy="328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>
                  <a:lumMod val="85000"/>
                </a:schemeClr>
              </a:solidFill>
            </a:rPr>
            <a:t>Insights</a:t>
          </a:r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4</xdr:col>
      <xdr:colOff>455084</xdr:colOff>
      <xdr:row>22</xdr:row>
      <xdr:rowOff>116416</xdr:rowOff>
    </xdr:from>
    <xdr:to>
      <xdr:col>14</xdr:col>
      <xdr:colOff>603250</xdr:colOff>
      <xdr:row>33</xdr:row>
      <xdr:rowOff>148167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3699D339-E7AF-4B1C-A8B2-3DB26470B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347869</xdr:colOff>
      <xdr:row>24</xdr:row>
      <xdr:rowOff>126999</xdr:rowOff>
    </xdr:from>
    <xdr:to>
      <xdr:col>28</xdr:col>
      <xdr:colOff>231913</xdr:colOff>
      <xdr:row>33</xdr:row>
      <xdr:rowOff>27608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8700A53-031F-4B04-BE7F-1F4562EDF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463826</xdr:colOff>
      <xdr:row>23</xdr:row>
      <xdr:rowOff>55562</xdr:rowOff>
    </xdr:from>
    <xdr:to>
      <xdr:col>14</xdr:col>
      <xdr:colOff>524565</xdr:colOff>
      <xdr:row>33</xdr:row>
      <xdr:rowOff>104913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7BB7F8B-B1AE-4441-AE70-9407FDD63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560294</xdr:colOff>
      <xdr:row>36</xdr:row>
      <xdr:rowOff>89646</xdr:rowOff>
    </xdr:from>
    <xdr:to>
      <xdr:col>14</xdr:col>
      <xdr:colOff>575235</xdr:colOff>
      <xdr:row>46</xdr:row>
      <xdr:rowOff>150282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D174D38-A5FF-44F3-8CBA-5119260C9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381001</xdr:colOff>
      <xdr:row>23</xdr:row>
      <xdr:rowOff>63500</xdr:rowOff>
    </xdr:from>
    <xdr:to>
      <xdr:col>21</xdr:col>
      <xdr:colOff>571501</xdr:colOff>
      <xdr:row>42</xdr:row>
      <xdr:rowOff>74083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730498D-28A9-4C0C-A9D9-9FCDC1F0B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448745</xdr:colOff>
      <xdr:row>43</xdr:row>
      <xdr:rowOff>4237</xdr:rowOff>
    </xdr:from>
    <xdr:to>
      <xdr:col>20</xdr:col>
      <xdr:colOff>433920</xdr:colOff>
      <xdr:row>46</xdr:row>
      <xdr:rowOff>116417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6886714-6C6A-4F3C-B53D-CA80B88580EE}"/>
            </a:ext>
          </a:extLst>
        </xdr:cNvPr>
        <xdr:cNvSpPr txBox="1"/>
      </xdr:nvSpPr>
      <xdr:spPr>
        <a:xfrm>
          <a:off x="9656245" y="7740654"/>
          <a:ext cx="3054342" cy="651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 i="1"/>
            <a:t>Enterprise </a:t>
          </a:r>
          <a:r>
            <a:rPr lang="en-US" sz="1050" b="1" i="1" baseline="0"/>
            <a:t> </a:t>
          </a:r>
          <a:r>
            <a:rPr lang="en-US" sz="1050" b="1" i="1"/>
            <a:t>→</a:t>
          </a:r>
          <a:r>
            <a:rPr lang="en-US" sz="1050" b="1" i="1" baseline="0"/>
            <a:t>  Loss Efficiency</a:t>
          </a:r>
          <a:endParaRPr lang="en-US" sz="1050" b="1" i="1"/>
        </a:p>
        <a:p>
          <a:r>
            <a:rPr lang="en-US" sz="1050" b="1" i="1"/>
            <a:t>Small</a:t>
          </a:r>
          <a:r>
            <a:rPr lang="en-US" sz="1050" b="1" i="1" baseline="0"/>
            <a:t> Business  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 Thin Efficiency</a:t>
          </a:r>
          <a:endParaRPr lang="en-US" sz="1050" b="1" i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1" baseline="0"/>
            <a:t>Channel Partners  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 Hgh Efficiency</a:t>
          </a:r>
          <a:endParaRPr lang="en-US" sz="1050" b="1" i="1">
            <a:effectLst/>
          </a:endParaRPr>
        </a:p>
        <a:p>
          <a:endParaRPr lang="en-US" sz="1050" b="1"/>
        </a:p>
      </xdr:txBody>
    </xdr:sp>
    <xdr:clientData/>
  </xdr:twoCellAnchor>
  <xdr:twoCellAnchor>
    <xdr:from>
      <xdr:col>10</xdr:col>
      <xdr:colOff>582085</xdr:colOff>
      <xdr:row>16</xdr:row>
      <xdr:rowOff>74082</xdr:rowOff>
    </xdr:from>
    <xdr:to>
      <xdr:col>12</xdr:col>
      <xdr:colOff>582084</xdr:colOff>
      <xdr:row>19</xdr:row>
      <xdr:rowOff>21165</xdr:rowOff>
    </xdr:to>
    <xdr:sp macro="" textlink="Analysis!W17">
      <xdr:nvSpPr>
        <xdr:cNvPr id="49" name="TextBox 48">
          <a:extLst>
            <a:ext uri="{FF2B5EF4-FFF2-40B4-BE49-F238E27FC236}">
              <a16:creationId xmlns:a16="http://schemas.microsoft.com/office/drawing/2014/main" id="{D2366AD1-F12B-425F-BB3F-E53E298AA680}"/>
            </a:ext>
          </a:extLst>
        </xdr:cNvPr>
        <xdr:cNvSpPr txBox="1"/>
      </xdr:nvSpPr>
      <xdr:spPr>
        <a:xfrm>
          <a:off x="6720418" y="2952749"/>
          <a:ext cx="1227666" cy="486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60535EF7-236E-43C6-BB28-C77E7B1B8431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Enterprise:</a:t>
          </a:fld>
          <a:endParaRPr lang="en-US" sz="1800" b="1"/>
        </a:p>
      </xdr:txBody>
    </xdr:sp>
    <xdr:clientData/>
  </xdr:twoCellAnchor>
  <xdr:twoCellAnchor>
    <xdr:from>
      <xdr:col>10</xdr:col>
      <xdr:colOff>478368</xdr:colOff>
      <xdr:row>15</xdr:row>
      <xdr:rowOff>114299</xdr:rowOff>
    </xdr:from>
    <xdr:to>
      <xdr:col>16</xdr:col>
      <xdr:colOff>142875</xdr:colOff>
      <xdr:row>15</xdr:row>
      <xdr:rowOff>114299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446A484-15BC-48FE-BF6F-61D0428ADBB9}"/>
            </a:ext>
          </a:extLst>
        </xdr:cNvPr>
        <xdr:cNvCxnSpPr/>
      </xdr:nvCxnSpPr>
      <xdr:spPr>
        <a:xfrm>
          <a:off x="6616701" y="2813049"/>
          <a:ext cx="33475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15</xdr:row>
      <xdr:rowOff>114299</xdr:rowOff>
    </xdr:from>
    <xdr:to>
      <xdr:col>10</xdr:col>
      <xdr:colOff>45507</xdr:colOff>
      <xdr:row>15</xdr:row>
      <xdr:rowOff>114299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AC2F0EF-2F2F-4B96-B970-39E1EA15CE01}"/>
            </a:ext>
          </a:extLst>
        </xdr:cNvPr>
        <xdr:cNvCxnSpPr/>
      </xdr:nvCxnSpPr>
      <xdr:spPr>
        <a:xfrm>
          <a:off x="2836333" y="2813049"/>
          <a:ext cx="33475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550333</xdr:colOff>
      <xdr:row>15</xdr:row>
      <xdr:rowOff>114299</xdr:rowOff>
    </xdr:from>
    <xdr:to>
      <xdr:col>22</xdr:col>
      <xdr:colOff>214840</xdr:colOff>
      <xdr:row>15</xdr:row>
      <xdr:rowOff>114299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D0DC648-235E-4085-A961-6ABB32AD6D92}"/>
            </a:ext>
          </a:extLst>
        </xdr:cNvPr>
        <xdr:cNvCxnSpPr/>
      </xdr:nvCxnSpPr>
      <xdr:spPr>
        <a:xfrm>
          <a:off x="10371666" y="2813049"/>
          <a:ext cx="33475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42334</xdr:colOff>
      <xdr:row>15</xdr:row>
      <xdr:rowOff>114299</xdr:rowOff>
    </xdr:from>
    <xdr:to>
      <xdr:col>28</xdr:col>
      <xdr:colOff>320675</xdr:colOff>
      <xdr:row>15</xdr:row>
      <xdr:rowOff>114299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7CBE424-DEF4-4B82-A1F8-D32DEFF02D92}"/>
            </a:ext>
          </a:extLst>
        </xdr:cNvPr>
        <xdr:cNvCxnSpPr/>
      </xdr:nvCxnSpPr>
      <xdr:spPr>
        <a:xfrm>
          <a:off x="14160501" y="2813049"/>
          <a:ext cx="33475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162985</xdr:colOff>
      <xdr:row>16</xdr:row>
      <xdr:rowOff>74082</xdr:rowOff>
    </xdr:from>
    <xdr:to>
      <xdr:col>15</xdr:col>
      <xdr:colOff>162984</xdr:colOff>
      <xdr:row>19</xdr:row>
      <xdr:rowOff>21165</xdr:rowOff>
    </xdr:to>
    <xdr:sp macro="" textlink="Analysis!W16">
      <xdr:nvSpPr>
        <xdr:cNvPr id="54" name="TextBox 53">
          <a:extLst>
            <a:ext uri="{FF2B5EF4-FFF2-40B4-BE49-F238E27FC236}">
              <a16:creationId xmlns:a16="http://schemas.microsoft.com/office/drawing/2014/main" id="{0CB05FE9-5BBF-4BA3-85AE-31A5E0BD2BC5}"/>
            </a:ext>
          </a:extLst>
        </xdr:cNvPr>
        <xdr:cNvSpPr txBox="1"/>
      </xdr:nvSpPr>
      <xdr:spPr>
        <a:xfrm>
          <a:off x="8142818" y="2952749"/>
          <a:ext cx="1227666" cy="486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5E018CD-AECA-4A16-B52B-7BBAAB32FAE5}" type="TxLink">
            <a:rPr lang="en-US" sz="1800" b="1" i="0" u="none" strike="noStrike">
              <a:solidFill>
                <a:srgbClr val="000000"/>
              </a:solidFill>
              <a:latin typeface="Candara" panose="020E0502030303020204" pitchFamily="34" charset="0"/>
              <a:ea typeface="Calibri"/>
              <a:cs typeface="Calibri"/>
            </a:rPr>
            <a:pPr algn="ctr"/>
            <a:t>-3.1%</a:t>
          </a:fld>
          <a:endParaRPr lang="en-US" sz="3200" b="1">
            <a:latin typeface="Candara" panose="020E0502030303020204" pitchFamily="34" charset="0"/>
          </a:endParaRPr>
        </a:p>
      </xdr:txBody>
    </xdr:sp>
    <xdr:clientData/>
  </xdr:twoCellAnchor>
  <xdr:twoCellAnchor>
    <xdr:from>
      <xdr:col>17</xdr:col>
      <xdr:colOff>264583</xdr:colOff>
      <xdr:row>16</xdr:row>
      <xdr:rowOff>74082</xdr:rowOff>
    </xdr:from>
    <xdr:to>
      <xdr:col>19</xdr:col>
      <xdr:colOff>264583</xdr:colOff>
      <xdr:row>19</xdr:row>
      <xdr:rowOff>21165</xdr:rowOff>
    </xdr:to>
    <xdr:sp macro="" textlink="Analysis!W8">
      <xdr:nvSpPr>
        <xdr:cNvPr id="55" name="TextBox 54">
          <a:extLst>
            <a:ext uri="{FF2B5EF4-FFF2-40B4-BE49-F238E27FC236}">
              <a16:creationId xmlns:a16="http://schemas.microsoft.com/office/drawing/2014/main" id="{F826F648-B763-4376-9BC0-FEE3D598D447}"/>
            </a:ext>
          </a:extLst>
        </xdr:cNvPr>
        <xdr:cNvSpPr txBox="1"/>
      </xdr:nvSpPr>
      <xdr:spPr>
        <a:xfrm>
          <a:off x="10699750" y="2952749"/>
          <a:ext cx="1227666" cy="486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D7179311-621A-4F53-97BC-CCE078193B28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Velo:</a:t>
          </a:fld>
          <a:endParaRPr lang="en-US" sz="3200" b="1"/>
        </a:p>
      </xdr:txBody>
    </xdr:sp>
    <xdr:clientData/>
  </xdr:twoCellAnchor>
  <xdr:twoCellAnchor>
    <xdr:from>
      <xdr:col>19</xdr:col>
      <xdr:colOff>459317</xdr:colOff>
      <xdr:row>16</xdr:row>
      <xdr:rowOff>74082</xdr:rowOff>
    </xdr:from>
    <xdr:to>
      <xdr:col>21</xdr:col>
      <xdr:colOff>459316</xdr:colOff>
      <xdr:row>19</xdr:row>
      <xdr:rowOff>21165</xdr:rowOff>
    </xdr:to>
    <xdr:sp macro="" textlink="Analysis!W7">
      <xdr:nvSpPr>
        <xdr:cNvPr id="56" name="TextBox 55">
          <a:extLst>
            <a:ext uri="{FF2B5EF4-FFF2-40B4-BE49-F238E27FC236}">
              <a16:creationId xmlns:a16="http://schemas.microsoft.com/office/drawing/2014/main" id="{04CB69E9-7568-41AF-8F83-69E99553C52E}"/>
            </a:ext>
          </a:extLst>
        </xdr:cNvPr>
        <xdr:cNvSpPr txBox="1"/>
      </xdr:nvSpPr>
      <xdr:spPr>
        <a:xfrm>
          <a:off x="12122150" y="2952749"/>
          <a:ext cx="1227666" cy="486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650AACF-44B4-4969-AC6F-5313AF95F2FC}" type="TxLink">
            <a:rPr lang="en-US" sz="1800" b="1" i="0" u="none" strike="noStrike">
              <a:solidFill>
                <a:srgbClr val="000000"/>
              </a:solidFill>
              <a:latin typeface="Candara" panose="020E0502030303020204" pitchFamily="34" charset="0"/>
              <a:ea typeface="Calibri"/>
              <a:cs typeface="Calibri"/>
            </a:rPr>
            <a:pPr algn="ctr"/>
            <a:t>12.6%</a:t>
          </a:fld>
          <a:endParaRPr lang="en-US" sz="4800" b="1">
            <a:latin typeface="Candara" panose="020E0502030303020204" pitchFamily="34" charset="0"/>
          </a:endParaRPr>
        </a:p>
      </xdr:txBody>
    </xdr:sp>
    <xdr:clientData/>
  </xdr:twoCellAnchor>
  <xdr:twoCellAnchor>
    <xdr:from>
      <xdr:col>6</xdr:col>
      <xdr:colOff>63501</xdr:colOff>
      <xdr:row>16</xdr:row>
      <xdr:rowOff>74082</xdr:rowOff>
    </xdr:from>
    <xdr:to>
      <xdr:col>8</xdr:col>
      <xdr:colOff>63500</xdr:colOff>
      <xdr:row>19</xdr:row>
      <xdr:rowOff>21165</xdr:rowOff>
    </xdr:to>
    <xdr:sp macro="" textlink="Analysis!N29">
      <xdr:nvSpPr>
        <xdr:cNvPr id="57" name="TextBox 56">
          <a:extLst>
            <a:ext uri="{FF2B5EF4-FFF2-40B4-BE49-F238E27FC236}">
              <a16:creationId xmlns:a16="http://schemas.microsoft.com/office/drawing/2014/main" id="{B2D65AD6-0AB8-47D5-9B09-0E4F3A631F16}"/>
            </a:ext>
          </a:extLst>
        </xdr:cNvPr>
        <xdr:cNvSpPr txBox="1"/>
      </xdr:nvSpPr>
      <xdr:spPr>
        <a:xfrm>
          <a:off x="3746501" y="2952749"/>
          <a:ext cx="1227666" cy="486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695B85D-95D2-4671-A1AB-1BDBD716E162}" type="TxLink">
            <a:rPr lang="en-US" sz="1800" b="1" i="0" u="none" strike="noStrike">
              <a:solidFill>
                <a:srgbClr val="000000"/>
              </a:solidFill>
              <a:latin typeface="Candara" panose="020E0502030303020204" pitchFamily="34" charset="0"/>
              <a:ea typeface="Calibri"/>
              <a:cs typeface="Calibri"/>
            </a:rPr>
            <a:pPr algn="ctr"/>
            <a:t>67.41%</a:t>
          </a:fld>
          <a:endParaRPr lang="en-US" sz="3200" b="1">
            <a:latin typeface="Candara" panose="020E0502030303020204" pitchFamily="34" charset="0"/>
          </a:endParaRPr>
        </a:p>
      </xdr:txBody>
    </xdr:sp>
    <xdr:clientData/>
  </xdr:twoCellAnchor>
  <xdr:twoCellAnchor>
    <xdr:from>
      <xdr:col>24</xdr:col>
      <xdr:colOff>353474</xdr:colOff>
      <xdr:row>16</xdr:row>
      <xdr:rowOff>74082</xdr:rowOff>
    </xdr:from>
    <xdr:to>
      <xdr:col>26</xdr:col>
      <xdr:colOff>353473</xdr:colOff>
      <xdr:row>19</xdr:row>
      <xdr:rowOff>21165</xdr:rowOff>
    </xdr:to>
    <xdr:sp macro="" textlink="Analysis!AN18">
      <xdr:nvSpPr>
        <xdr:cNvPr id="58" name="TextBox 57">
          <a:extLst>
            <a:ext uri="{FF2B5EF4-FFF2-40B4-BE49-F238E27FC236}">
              <a16:creationId xmlns:a16="http://schemas.microsoft.com/office/drawing/2014/main" id="{92CD4C37-3F26-4B4A-B2A4-0A6D50AE92DE}"/>
            </a:ext>
          </a:extLst>
        </xdr:cNvPr>
        <xdr:cNvSpPr txBox="1"/>
      </xdr:nvSpPr>
      <xdr:spPr>
        <a:xfrm>
          <a:off x="15085474" y="2952749"/>
          <a:ext cx="1227666" cy="486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1DA0819-B653-4C94-BA46-C61706771E55}" type="TxLink">
            <a:rPr lang="en-US" sz="1800" b="1" i="0" u="none" strike="noStrike">
              <a:solidFill>
                <a:srgbClr val="000000"/>
              </a:solidFill>
              <a:latin typeface="Candara" panose="020E0502030303020204" pitchFamily="34" charset="0"/>
              <a:ea typeface="Calibri"/>
              <a:cs typeface="Calibri"/>
            </a:rPr>
            <a:pPr algn="ctr"/>
            <a:t>-2.6%</a:t>
          </a:fld>
          <a:endParaRPr lang="en-US" sz="4800" b="1">
            <a:latin typeface="Candara" panose="020E0502030303020204" pitchFamily="34" charset="0"/>
          </a:endParaRPr>
        </a:p>
      </xdr:txBody>
    </xdr:sp>
    <xdr:clientData/>
  </xdr:twoCellAnchor>
  <xdr:twoCellAnchor>
    <xdr:from>
      <xdr:col>23</xdr:col>
      <xdr:colOff>336550</xdr:colOff>
      <xdr:row>41</xdr:row>
      <xdr:rowOff>99483</xdr:rowOff>
    </xdr:from>
    <xdr:to>
      <xdr:col>25</xdr:col>
      <xdr:colOff>336550</xdr:colOff>
      <xdr:row>44</xdr:row>
      <xdr:rowOff>46566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C56B115-49A8-468D-8525-CC28A125714D}"/>
            </a:ext>
          </a:extLst>
        </xdr:cNvPr>
        <xdr:cNvSpPr txBox="1"/>
      </xdr:nvSpPr>
      <xdr:spPr>
        <a:xfrm>
          <a:off x="14454717" y="7476066"/>
          <a:ext cx="1227666" cy="486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 i="0" u="none" strike="noStrike">
            <a:solidFill>
              <a:schemeClr val="bg1">
                <a:lumMod val="95000"/>
              </a:schemeClr>
            </a:solidFill>
            <a:latin typeface="Candara" panose="020E0502030303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22</xdr:col>
      <xdr:colOff>359834</xdr:colOff>
      <xdr:row>37</xdr:row>
      <xdr:rowOff>31750</xdr:rowOff>
    </xdr:from>
    <xdr:to>
      <xdr:col>28</xdr:col>
      <xdr:colOff>232834</xdr:colOff>
      <xdr:row>46</xdr:row>
      <xdr:rowOff>52916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97FA23B-E2E4-4173-9222-28664C3FBED4}"/>
            </a:ext>
          </a:extLst>
        </xdr:cNvPr>
        <xdr:cNvSpPr txBox="1"/>
      </xdr:nvSpPr>
      <xdr:spPr>
        <a:xfrm>
          <a:off x="13864167" y="6688667"/>
          <a:ext cx="3556000" cy="1640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solidFill>
                <a:schemeClr val="bg1">
                  <a:lumMod val="95000"/>
                </a:schemeClr>
              </a:solidFill>
            </a:rPr>
            <a:t>Revenue reached seasonal highs in Q4 2014, particularly in December. Forecast modelling indicates a modest 2.6% normalization from peak levels over the next six months.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solidFill>
              <a:schemeClr val="bg1">
                <a:lumMod val="95000"/>
              </a:schemeClr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solidFill>
                <a:schemeClr val="bg1">
                  <a:lumMod val="95000"/>
                </a:schemeClr>
              </a:solidFill>
            </a:rPr>
            <a:t>While overall revenue momentum remains stable, profitability sustainability depends on addressing segment inefficiencies and reducing margin compression from discount intensity.</a:t>
          </a:r>
          <a:r>
            <a:rPr lang="en-US" sz="1100">
              <a:solidFill>
                <a:schemeClr val="bg1">
                  <a:lumMod val="95000"/>
                </a:schemeClr>
              </a:solidFill>
            </a:rPr>
            <a:t>.</a:t>
          </a:r>
        </a:p>
      </xdr:txBody>
    </xdr:sp>
    <xdr:clientData/>
  </xdr:twoCellAnchor>
  <xdr:twoCellAnchor editAs="oneCell">
    <xdr:from>
      <xdr:col>27</xdr:col>
      <xdr:colOff>202047</xdr:colOff>
      <xdr:row>7</xdr:row>
      <xdr:rowOff>52916</xdr:rowOff>
    </xdr:from>
    <xdr:to>
      <xdr:col>28</xdr:col>
      <xdr:colOff>246304</xdr:colOff>
      <xdr:row>11</xdr:row>
      <xdr:rowOff>37499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D4FA676-33D2-402B-80A2-890636DB7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5547" y="1312333"/>
          <a:ext cx="658090" cy="704249"/>
        </a:xfrm>
        <a:prstGeom prst="flowChartConnector">
          <a:avLst/>
        </a:prstGeom>
      </xdr:spPr>
    </xdr:pic>
    <xdr:clientData/>
  </xdr:twoCellAnchor>
  <xdr:twoCellAnchor>
    <xdr:from>
      <xdr:col>24</xdr:col>
      <xdr:colOff>508000</xdr:colOff>
      <xdr:row>7</xdr:row>
      <xdr:rowOff>159109</xdr:rowOff>
    </xdr:from>
    <xdr:to>
      <xdr:col>27</xdr:col>
      <xdr:colOff>248227</xdr:colOff>
      <xdr:row>10</xdr:row>
      <xdr:rowOff>173542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F9B6C3A-1841-4520-9C4E-6ACE95CB3417}"/>
            </a:ext>
          </a:extLst>
        </xdr:cNvPr>
        <xdr:cNvSpPr txBox="1"/>
      </xdr:nvSpPr>
      <xdr:spPr>
        <a:xfrm>
          <a:off x="15240000" y="1418526"/>
          <a:ext cx="1581727" cy="554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3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Mustapha</a:t>
          </a:r>
          <a:r>
            <a:rPr lang="en-US" sz="13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 Ambali</a:t>
          </a:r>
        </a:p>
        <a:p>
          <a:pPr algn="l"/>
          <a:r>
            <a:rPr lang="en-US" sz="1300" b="0" i="1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rPr>
            <a:t>Data Analyst</a:t>
          </a:r>
          <a:endParaRPr lang="en-US" sz="1300" b="0" i="1" u="none" strike="noStrike">
            <a:solidFill>
              <a:schemeClr val="tx1">
                <a:lumMod val="65000"/>
                <a:lumOff val="3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30</xdr:row>
      <xdr:rowOff>133350</xdr:rowOff>
    </xdr:from>
    <xdr:to>
      <xdr:col>6</xdr:col>
      <xdr:colOff>438150</xdr:colOff>
      <xdr:row>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13AFC2-0AC7-4097-BE9B-094A42DAA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56578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</xdr:colOff>
      <xdr:row>16</xdr:row>
      <xdr:rowOff>57150</xdr:rowOff>
    </xdr:from>
    <xdr:to>
      <xdr:col>10</xdr:col>
      <xdr:colOff>190500</xdr:colOff>
      <xdr:row>20</xdr:row>
      <xdr:rowOff>107950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030FEE-C624-4176-B4DC-064DC85A7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9100" y="3003550"/>
          <a:ext cx="787400" cy="787400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24</xdr:row>
      <xdr:rowOff>31750</xdr:rowOff>
    </xdr:from>
    <xdr:to>
      <xdr:col>10</xdr:col>
      <xdr:colOff>253746</xdr:colOff>
      <xdr:row>25</xdr:row>
      <xdr:rowOff>158496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745FFB-C636-47D8-8EAE-BBFF34C1B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8850" y="4451350"/>
          <a:ext cx="310896" cy="310896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16</xdr:row>
      <xdr:rowOff>31750</xdr:rowOff>
    </xdr:from>
    <xdr:to>
      <xdr:col>2</xdr:col>
      <xdr:colOff>558546</xdr:colOff>
      <xdr:row>17</xdr:row>
      <xdr:rowOff>158496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EE38A0-C7D8-4F74-B47D-A5F4703DE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6850" y="2978150"/>
          <a:ext cx="310896" cy="310896"/>
        </a:xfrm>
        <a:prstGeom prst="rect">
          <a:avLst/>
        </a:prstGeom>
      </xdr:spPr>
    </xdr:pic>
    <xdr:clientData/>
  </xdr:twoCellAnchor>
  <xdr:twoCellAnchor editAs="oneCell">
    <xdr:from>
      <xdr:col>14</xdr:col>
      <xdr:colOff>330200</xdr:colOff>
      <xdr:row>14</xdr:row>
      <xdr:rowOff>133350</xdr:rowOff>
    </xdr:from>
    <xdr:to>
      <xdr:col>15</xdr:col>
      <xdr:colOff>31496</xdr:colOff>
      <xdr:row>16</xdr:row>
      <xdr:rowOff>75946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08B6D4-3764-4EFC-B03B-B78646098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4600" y="2711450"/>
          <a:ext cx="310896" cy="310896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13</xdr:row>
      <xdr:rowOff>177800</xdr:rowOff>
    </xdr:from>
    <xdr:to>
      <xdr:col>2</xdr:col>
      <xdr:colOff>374396</xdr:colOff>
      <xdr:row>15</xdr:row>
      <xdr:rowOff>165938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5EECA2-85BE-49A4-83F4-1C59EB492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2700" y="2571750"/>
          <a:ext cx="310896" cy="3564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8.580147800923" createdVersion="7" refreshedVersion="7" minRefreshableVersion="3" recordCount="700" xr:uid="{8592128D-F2A6-4CD0-8946-2D7E6DD1711D}">
  <cacheSource type="worksheet">
    <worksheetSource name="data"/>
  </cacheSource>
  <cacheFields count="24">
    <cacheField name="Id" numFmtId="0">
      <sharedItems containsSemiMixedTypes="0" containsString="0" containsNumber="1" containsInteger="1" minValue="1" maxValue="700"/>
    </cacheField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0">
      <sharedItems count="6">
        <s v="Carretera"/>
        <s v="Montana"/>
        <s v="Paseo"/>
        <s v="Velo"/>
        <s v="VTT"/>
        <s v="Amarilla"/>
      </sharedItems>
    </cacheField>
    <cacheField name="Discount Band" numFmtId="0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Discounts" numFmtId="0">
      <sharedItems containsSemiMixedTypes="0" containsString="0" containsNumber="1" minValue="0" maxValue="149677.5"/>
    </cacheField>
    <cacheField name="COGS" numFmtId="0">
      <sharedItems containsSemiMixedTypes="0" containsString="0" containsNumber="1" minValue="918" maxValue="950625"/>
    </cacheField>
    <cacheField name="Date" numFmtId="14">
      <sharedItems containsSemiMixedTypes="0" containsNonDate="0" containsDate="1" containsString="0" minDate="2013-09-01T00:00:00" maxDate="2014-12-02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  <fieldGroup par="22" base="10">
        <rangePr groupBy="months" startDate="2013-09-01T00:00:00" endDate="2014-12-02T00:00:00"/>
        <groupItems count="14">
          <s v="&lt;9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14"/>
        </groupItems>
      </fieldGroup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Months" numFmtId="0">
      <sharedItems count="12">
        <s v="Jan"/>
        <s v="Jun"/>
        <s v="Dec"/>
        <s v="Mar"/>
        <s v="Jul"/>
        <s v="Aug"/>
        <s v="Sep"/>
        <s v="Oct"/>
        <s v="Feb"/>
        <s v="Nov"/>
        <s v="Apr"/>
        <s v="May"/>
      </sharedItems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  <cacheField name="Gross Sales" numFmtId="0">
      <sharedItems containsSemiMixedTypes="0" containsString="0" containsNumber="1" minValue="1799" maxValue="1207500"/>
    </cacheField>
    <cacheField name="Net Sales" numFmtId="0">
      <sharedItems containsSemiMixedTypes="0" containsString="0" containsNumber="1" minValue="1655.08" maxValue="1159200"/>
    </cacheField>
    <cacheField name="Profits" numFmtId="0">
      <sharedItems containsSemiMixedTypes="0" containsString="0" containsNumber="1" minValue="-40617.5" maxValue="262200"/>
    </cacheField>
    <cacheField name="Profit Margin" numFmtId="2">
      <sharedItems containsSemiMixedTypes="0" containsString="0" containsNumber="1" minValue="-0.12941176470588237" maxValue="0.75"/>
    </cacheField>
    <cacheField name="Profit Band" numFmtId="0">
      <sharedItems count="4">
        <s v="High"/>
        <s v="Low"/>
        <s v="Medium"/>
        <s v="Negative"/>
      </sharedItems>
    </cacheField>
    <cacheField name="PM" numFmtId="0" formula="Profits/'Net Sales'" databaseField="0"/>
    <cacheField name="Quarters" numFmtId="0" databaseField="0">
      <fieldGroup base="10">
        <rangePr groupBy="quarters" startDate="2013-09-01T00:00:00" endDate="2014-12-02T00:00:00"/>
        <groupItems count="6">
          <s v="&lt;9/1/2013"/>
          <s v="Qtr1"/>
          <s v="Qtr2"/>
          <s v="Qtr3"/>
          <s v="Qtr4"/>
          <s v="&gt;12/2/2014"/>
        </groupItems>
      </fieldGroup>
    </cacheField>
    <cacheField name="Years" numFmtId="0" databaseField="0">
      <fieldGroup base="10">
        <rangePr groupBy="years" startDate="2013-09-01T00:00:00" endDate="2014-12-02T00:00:00"/>
        <groupItems count="4">
          <s v="&lt;9/1/2013"/>
          <s v="2013"/>
          <s v="2014"/>
          <s v="&gt;12/2/2014"/>
        </groupItems>
      </fieldGroup>
    </cacheField>
    <cacheField name="margin" numFmtId="0" formula="Profits/'Ne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1"/>
    <x v="0"/>
    <x v="0"/>
    <x v="0"/>
    <x v="0"/>
    <n v="1618.5"/>
    <n v="3"/>
    <n v="20"/>
    <n v="0"/>
    <n v="16185"/>
    <x v="0"/>
    <n v="1"/>
    <x v="0"/>
    <x v="0"/>
    <x v="0"/>
    <n v="32370"/>
    <n v="32370"/>
    <n v="16185"/>
    <n v="0.5"/>
    <x v="0"/>
  </r>
  <r>
    <n v="2"/>
    <x v="0"/>
    <x v="1"/>
    <x v="0"/>
    <x v="0"/>
    <n v="1321"/>
    <n v="3"/>
    <n v="20"/>
    <n v="0"/>
    <n v="13210"/>
    <x v="0"/>
    <n v="1"/>
    <x v="0"/>
    <x v="0"/>
    <x v="0"/>
    <n v="26420"/>
    <n v="26420"/>
    <n v="13210"/>
    <n v="0.5"/>
    <x v="0"/>
  </r>
  <r>
    <n v="3"/>
    <x v="1"/>
    <x v="2"/>
    <x v="0"/>
    <x v="0"/>
    <n v="2178"/>
    <n v="3"/>
    <n v="15"/>
    <n v="0"/>
    <n v="21780"/>
    <x v="1"/>
    <n v="6"/>
    <x v="1"/>
    <x v="1"/>
    <x v="0"/>
    <n v="32670"/>
    <n v="32670"/>
    <n v="10890"/>
    <n v="0.33333333333333331"/>
    <x v="0"/>
  </r>
  <r>
    <n v="4"/>
    <x v="1"/>
    <x v="1"/>
    <x v="0"/>
    <x v="0"/>
    <n v="888"/>
    <n v="3"/>
    <n v="15"/>
    <n v="0"/>
    <n v="8880"/>
    <x v="1"/>
    <n v="6"/>
    <x v="1"/>
    <x v="1"/>
    <x v="0"/>
    <n v="13320"/>
    <n v="13320"/>
    <n v="4440"/>
    <n v="0.33333333333333331"/>
    <x v="0"/>
  </r>
  <r>
    <n v="5"/>
    <x v="1"/>
    <x v="3"/>
    <x v="0"/>
    <x v="0"/>
    <n v="2470"/>
    <n v="3"/>
    <n v="15"/>
    <n v="0"/>
    <n v="24700"/>
    <x v="1"/>
    <n v="6"/>
    <x v="1"/>
    <x v="1"/>
    <x v="0"/>
    <n v="37050"/>
    <n v="37050"/>
    <n v="12350"/>
    <n v="0.33333333333333331"/>
    <x v="0"/>
  </r>
  <r>
    <n v="6"/>
    <x v="0"/>
    <x v="1"/>
    <x v="0"/>
    <x v="0"/>
    <n v="1513"/>
    <n v="3"/>
    <n v="350"/>
    <n v="0"/>
    <n v="393380"/>
    <x v="2"/>
    <n v="12"/>
    <x v="2"/>
    <x v="2"/>
    <x v="0"/>
    <n v="529550"/>
    <n v="529550"/>
    <n v="136170"/>
    <n v="0.25714285714285712"/>
    <x v="0"/>
  </r>
  <r>
    <n v="7"/>
    <x v="1"/>
    <x v="1"/>
    <x v="1"/>
    <x v="0"/>
    <n v="921"/>
    <n v="5"/>
    <n v="15"/>
    <n v="0"/>
    <n v="9210"/>
    <x v="3"/>
    <n v="3"/>
    <x v="3"/>
    <x v="3"/>
    <x v="0"/>
    <n v="13815"/>
    <n v="13815"/>
    <n v="4605"/>
    <n v="0.33333333333333331"/>
    <x v="0"/>
  </r>
  <r>
    <n v="8"/>
    <x v="2"/>
    <x v="0"/>
    <x v="1"/>
    <x v="0"/>
    <n v="2518"/>
    <n v="5"/>
    <n v="12"/>
    <n v="0"/>
    <n v="7554"/>
    <x v="1"/>
    <n v="6"/>
    <x v="1"/>
    <x v="1"/>
    <x v="0"/>
    <n v="30216"/>
    <n v="30216"/>
    <n v="22662"/>
    <n v="0.75"/>
    <x v="0"/>
  </r>
  <r>
    <n v="9"/>
    <x v="0"/>
    <x v="2"/>
    <x v="1"/>
    <x v="0"/>
    <n v="1899"/>
    <n v="5"/>
    <n v="20"/>
    <n v="0"/>
    <n v="18990"/>
    <x v="1"/>
    <n v="6"/>
    <x v="1"/>
    <x v="1"/>
    <x v="0"/>
    <n v="37980"/>
    <n v="37980"/>
    <n v="18990"/>
    <n v="0.5"/>
    <x v="0"/>
  </r>
  <r>
    <n v="10"/>
    <x v="2"/>
    <x v="1"/>
    <x v="1"/>
    <x v="0"/>
    <n v="1545"/>
    <n v="5"/>
    <n v="12"/>
    <n v="0"/>
    <n v="4635"/>
    <x v="1"/>
    <n v="6"/>
    <x v="1"/>
    <x v="1"/>
    <x v="0"/>
    <n v="18540"/>
    <n v="18540"/>
    <n v="13905"/>
    <n v="0.75"/>
    <x v="0"/>
  </r>
  <r>
    <n v="11"/>
    <x v="1"/>
    <x v="3"/>
    <x v="1"/>
    <x v="0"/>
    <n v="2470"/>
    <n v="5"/>
    <n v="15"/>
    <n v="0"/>
    <n v="24700"/>
    <x v="1"/>
    <n v="6"/>
    <x v="1"/>
    <x v="1"/>
    <x v="0"/>
    <n v="37050"/>
    <n v="37050"/>
    <n v="12350"/>
    <n v="0.33333333333333331"/>
    <x v="0"/>
  </r>
  <r>
    <n v="12"/>
    <x v="3"/>
    <x v="0"/>
    <x v="1"/>
    <x v="0"/>
    <n v="2665.5"/>
    <n v="5"/>
    <n v="125"/>
    <n v="0"/>
    <n v="319860"/>
    <x v="4"/>
    <n v="7"/>
    <x v="4"/>
    <x v="4"/>
    <x v="0"/>
    <n v="333187.5"/>
    <n v="333187.5"/>
    <n v="13327.5"/>
    <n v="0.04"/>
    <x v="1"/>
  </r>
  <r>
    <n v="13"/>
    <x v="4"/>
    <x v="3"/>
    <x v="1"/>
    <x v="0"/>
    <n v="958"/>
    <n v="5"/>
    <n v="300"/>
    <n v="0"/>
    <n v="239500"/>
    <x v="5"/>
    <n v="8"/>
    <x v="5"/>
    <x v="5"/>
    <x v="0"/>
    <n v="287400"/>
    <n v="287400"/>
    <n v="47900"/>
    <n v="0.16666666666666666"/>
    <x v="2"/>
  </r>
  <r>
    <n v="14"/>
    <x v="0"/>
    <x v="1"/>
    <x v="1"/>
    <x v="0"/>
    <n v="2146"/>
    <n v="5"/>
    <n v="7"/>
    <n v="0"/>
    <n v="10730"/>
    <x v="6"/>
    <n v="9"/>
    <x v="6"/>
    <x v="6"/>
    <x v="0"/>
    <n v="15022"/>
    <n v="15022"/>
    <n v="4292"/>
    <n v="0.2857142857142857"/>
    <x v="0"/>
  </r>
  <r>
    <n v="15"/>
    <x v="3"/>
    <x v="0"/>
    <x v="1"/>
    <x v="0"/>
    <n v="345"/>
    <n v="5"/>
    <n v="125"/>
    <n v="0"/>
    <n v="41400"/>
    <x v="7"/>
    <n v="10"/>
    <x v="7"/>
    <x v="7"/>
    <x v="1"/>
    <n v="43125"/>
    <n v="43125"/>
    <n v="1725"/>
    <n v="0.04"/>
    <x v="1"/>
  </r>
  <r>
    <n v="16"/>
    <x v="1"/>
    <x v="4"/>
    <x v="1"/>
    <x v="0"/>
    <n v="615"/>
    <n v="5"/>
    <n v="15"/>
    <n v="0"/>
    <n v="6150"/>
    <x v="2"/>
    <n v="12"/>
    <x v="2"/>
    <x v="2"/>
    <x v="0"/>
    <n v="9225"/>
    <n v="9225"/>
    <n v="3075"/>
    <n v="0.33333333333333331"/>
    <x v="0"/>
  </r>
  <r>
    <n v="17"/>
    <x v="0"/>
    <x v="0"/>
    <x v="2"/>
    <x v="0"/>
    <n v="292"/>
    <n v="10"/>
    <n v="20"/>
    <n v="0"/>
    <n v="2920"/>
    <x v="8"/>
    <n v="2"/>
    <x v="8"/>
    <x v="8"/>
    <x v="0"/>
    <n v="5840"/>
    <n v="5840"/>
    <n v="2920"/>
    <n v="0.5"/>
    <x v="0"/>
  </r>
  <r>
    <n v="18"/>
    <x v="1"/>
    <x v="3"/>
    <x v="2"/>
    <x v="0"/>
    <n v="974"/>
    <n v="10"/>
    <n v="15"/>
    <n v="0"/>
    <n v="9740"/>
    <x v="8"/>
    <n v="2"/>
    <x v="8"/>
    <x v="8"/>
    <x v="0"/>
    <n v="14610"/>
    <n v="14610"/>
    <n v="4870"/>
    <n v="0.33333333333333331"/>
    <x v="0"/>
  </r>
  <r>
    <n v="19"/>
    <x v="2"/>
    <x v="0"/>
    <x v="2"/>
    <x v="0"/>
    <n v="2518"/>
    <n v="10"/>
    <n v="12"/>
    <n v="0"/>
    <n v="7554"/>
    <x v="1"/>
    <n v="6"/>
    <x v="1"/>
    <x v="1"/>
    <x v="0"/>
    <n v="30216"/>
    <n v="30216"/>
    <n v="22662"/>
    <n v="0.75"/>
    <x v="0"/>
  </r>
  <r>
    <n v="20"/>
    <x v="0"/>
    <x v="1"/>
    <x v="2"/>
    <x v="0"/>
    <n v="1006"/>
    <n v="10"/>
    <n v="350"/>
    <n v="0"/>
    <n v="261560"/>
    <x v="1"/>
    <n v="6"/>
    <x v="1"/>
    <x v="1"/>
    <x v="0"/>
    <n v="352100"/>
    <n v="352100"/>
    <n v="90540"/>
    <n v="0.25714285714285712"/>
    <x v="0"/>
  </r>
  <r>
    <n v="21"/>
    <x v="2"/>
    <x v="1"/>
    <x v="2"/>
    <x v="0"/>
    <n v="367"/>
    <n v="10"/>
    <n v="12"/>
    <n v="0"/>
    <n v="1101"/>
    <x v="4"/>
    <n v="7"/>
    <x v="4"/>
    <x v="4"/>
    <x v="0"/>
    <n v="4404"/>
    <n v="4404"/>
    <n v="3303"/>
    <n v="0.75"/>
    <x v="0"/>
  </r>
  <r>
    <n v="22"/>
    <x v="0"/>
    <x v="3"/>
    <x v="2"/>
    <x v="0"/>
    <n v="883"/>
    <n v="10"/>
    <n v="7"/>
    <n v="0"/>
    <n v="4415"/>
    <x v="5"/>
    <n v="8"/>
    <x v="5"/>
    <x v="5"/>
    <x v="0"/>
    <n v="6181"/>
    <n v="6181"/>
    <n v="1766"/>
    <n v="0.2857142857142857"/>
    <x v="0"/>
  </r>
  <r>
    <n v="23"/>
    <x v="1"/>
    <x v="2"/>
    <x v="2"/>
    <x v="0"/>
    <n v="549"/>
    <n v="10"/>
    <n v="15"/>
    <n v="0"/>
    <n v="5490"/>
    <x v="9"/>
    <n v="9"/>
    <x v="6"/>
    <x v="6"/>
    <x v="1"/>
    <n v="8235"/>
    <n v="8235"/>
    <n v="2745"/>
    <n v="0.33333333333333331"/>
    <x v="0"/>
  </r>
  <r>
    <n v="24"/>
    <x v="4"/>
    <x v="3"/>
    <x v="2"/>
    <x v="0"/>
    <n v="788"/>
    <n v="10"/>
    <n v="300"/>
    <n v="0"/>
    <n v="197000"/>
    <x v="9"/>
    <n v="9"/>
    <x v="6"/>
    <x v="6"/>
    <x v="1"/>
    <n v="236400"/>
    <n v="236400"/>
    <n v="39400"/>
    <n v="0.16666666666666666"/>
    <x v="2"/>
  </r>
  <r>
    <n v="25"/>
    <x v="1"/>
    <x v="3"/>
    <x v="2"/>
    <x v="0"/>
    <n v="2472"/>
    <n v="10"/>
    <n v="15"/>
    <n v="0"/>
    <n v="24720"/>
    <x v="6"/>
    <n v="9"/>
    <x v="6"/>
    <x v="6"/>
    <x v="0"/>
    <n v="37080"/>
    <n v="37080"/>
    <n v="12360"/>
    <n v="0.33333333333333331"/>
    <x v="0"/>
  </r>
  <r>
    <n v="26"/>
    <x v="0"/>
    <x v="4"/>
    <x v="2"/>
    <x v="0"/>
    <n v="1143"/>
    <n v="10"/>
    <n v="7"/>
    <n v="0"/>
    <n v="5715"/>
    <x v="10"/>
    <n v="10"/>
    <x v="7"/>
    <x v="7"/>
    <x v="0"/>
    <n v="8001"/>
    <n v="8001"/>
    <n v="2286"/>
    <n v="0.2857142857142857"/>
    <x v="0"/>
  </r>
  <r>
    <n v="27"/>
    <x v="0"/>
    <x v="0"/>
    <x v="2"/>
    <x v="0"/>
    <n v="1725"/>
    <n v="10"/>
    <n v="350"/>
    <n v="0"/>
    <n v="448500"/>
    <x v="11"/>
    <n v="11"/>
    <x v="9"/>
    <x v="9"/>
    <x v="1"/>
    <n v="603750"/>
    <n v="603750"/>
    <n v="155250"/>
    <n v="0.25714285714285712"/>
    <x v="0"/>
  </r>
  <r>
    <n v="28"/>
    <x v="2"/>
    <x v="4"/>
    <x v="2"/>
    <x v="0"/>
    <n v="912"/>
    <n v="10"/>
    <n v="12"/>
    <n v="0"/>
    <n v="2736"/>
    <x v="11"/>
    <n v="11"/>
    <x v="9"/>
    <x v="9"/>
    <x v="1"/>
    <n v="10944"/>
    <n v="10944"/>
    <n v="8208"/>
    <n v="0.75"/>
    <x v="0"/>
  </r>
  <r>
    <n v="29"/>
    <x v="1"/>
    <x v="0"/>
    <x v="2"/>
    <x v="0"/>
    <n v="2152"/>
    <n v="10"/>
    <n v="15"/>
    <n v="0"/>
    <n v="21520"/>
    <x v="12"/>
    <n v="12"/>
    <x v="2"/>
    <x v="2"/>
    <x v="1"/>
    <n v="32280"/>
    <n v="32280"/>
    <n v="10760"/>
    <n v="0.33333333333333331"/>
    <x v="0"/>
  </r>
  <r>
    <n v="30"/>
    <x v="0"/>
    <x v="0"/>
    <x v="2"/>
    <x v="0"/>
    <n v="1817"/>
    <n v="10"/>
    <n v="20"/>
    <n v="0"/>
    <n v="18170"/>
    <x v="2"/>
    <n v="12"/>
    <x v="2"/>
    <x v="2"/>
    <x v="0"/>
    <n v="36340"/>
    <n v="36340"/>
    <n v="18170"/>
    <n v="0.5"/>
    <x v="0"/>
  </r>
  <r>
    <n v="31"/>
    <x v="0"/>
    <x v="1"/>
    <x v="2"/>
    <x v="0"/>
    <n v="1513"/>
    <n v="10"/>
    <n v="350"/>
    <n v="0"/>
    <n v="393380"/>
    <x v="2"/>
    <n v="12"/>
    <x v="2"/>
    <x v="2"/>
    <x v="0"/>
    <n v="529550"/>
    <n v="529550"/>
    <n v="136170"/>
    <n v="0.25714285714285712"/>
    <x v="0"/>
  </r>
  <r>
    <n v="32"/>
    <x v="0"/>
    <x v="3"/>
    <x v="3"/>
    <x v="0"/>
    <n v="1493"/>
    <n v="120"/>
    <n v="7"/>
    <n v="0"/>
    <n v="7465"/>
    <x v="0"/>
    <n v="1"/>
    <x v="0"/>
    <x v="0"/>
    <x v="0"/>
    <n v="10451"/>
    <n v="10451"/>
    <n v="2986"/>
    <n v="0.2857142857142857"/>
    <x v="0"/>
  </r>
  <r>
    <n v="33"/>
    <x v="3"/>
    <x v="2"/>
    <x v="3"/>
    <x v="0"/>
    <n v="1804"/>
    <n v="120"/>
    <n v="125"/>
    <n v="0"/>
    <n v="216480"/>
    <x v="8"/>
    <n v="2"/>
    <x v="8"/>
    <x v="8"/>
    <x v="0"/>
    <n v="225500"/>
    <n v="225500"/>
    <n v="9020"/>
    <n v="0.04"/>
    <x v="1"/>
  </r>
  <r>
    <n v="34"/>
    <x v="2"/>
    <x v="1"/>
    <x v="3"/>
    <x v="0"/>
    <n v="2161"/>
    <n v="120"/>
    <n v="12"/>
    <n v="0"/>
    <n v="6483"/>
    <x v="3"/>
    <n v="3"/>
    <x v="3"/>
    <x v="3"/>
    <x v="0"/>
    <n v="25932"/>
    <n v="25932"/>
    <n v="19449"/>
    <n v="0.75"/>
    <x v="0"/>
  </r>
  <r>
    <n v="35"/>
    <x v="0"/>
    <x v="1"/>
    <x v="3"/>
    <x v="0"/>
    <n v="1006"/>
    <n v="120"/>
    <n v="350"/>
    <n v="0"/>
    <n v="261560"/>
    <x v="1"/>
    <n v="6"/>
    <x v="1"/>
    <x v="1"/>
    <x v="0"/>
    <n v="352100"/>
    <n v="352100"/>
    <n v="90540"/>
    <n v="0.25714285714285712"/>
    <x v="0"/>
  </r>
  <r>
    <n v="36"/>
    <x v="2"/>
    <x v="1"/>
    <x v="3"/>
    <x v="0"/>
    <n v="1545"/>
    <n v="120"/>
    <n v="12"/>
    <n v="0"/>
    <n v="4635"/>
    <x v="1"/>
    <n v="6"/>
    <x v="1"/>
    <x v="1"/>
    <x v="0"/>
    <n v="18540"/>
    <n v="18540"/>
    <n v="13905"/>
    <n v="0.75"/>
    <x v="0"/>
  </r>
  <r>
    <n v="37"/>
    <x v="3"/>
    <x v="4"/>
    <x v="3"/>
    <x v="0"/>
    <n v="2821"/>
    <n v="120"/>
    <n v="125"/>
    <n v="0"/>
    <n v="338520"/>
    <x v="5"/>
    <n v="8"/>
    <x v="5"/>
    <x v="5"/>
    <x v="0"/>
    <n v="352625"/>
    <n v="352625"/>
    <n v="14105"/>
    <n v="0.04"/>
    <x v="1"/>
  </r>
  <r>
    <n v="38"/>
    <x v="3"/>
    <x v="0"/>
    <x v="3"/>
    <x v="0"/>
    <n v="345"/>
    <n v="120"/>
    <n v="125"/>
    <n v="0"/>
    <n v="41400"/>
    <x v="7"/>
    <n v="10"/>
    <x v="7"/>
    <x v="7"/>
    <x v="1"/>
    <n v="43125"/>
    <n v="43125"/>
    <n v="1725"/>
    <n v="0.04"/>
    <x v="1"/>
  </r>
  <r>
    <n v="39"/>
    <x v="4"/>
    <x v="0"/>
    <x v="4"/>
    <x v="0"/>
    <n v="2001"/>
    <n v="250"/>
    <n v="300"/>
    <n v="0"/>
    <n v="500250"/>
    <x v="8"/>
    <n v="2"/>
    <x v="8"/>
    <x v="8"/>
    <x v="0"/>
    <n v="600300"/>
    <n v="600300"/>
    <n v="100050"/>
    <n v="0.16666666666666666"/>
    <x v="2"/>
  </r>
  <r>
    <n v="40"/>
    <x v="2"/>
    <x v="1"/>
    <x v="4"/>
    <x v="0"/>
    <n v="2838"/>
    <n v="250"/>
    <n v="12"/>
    <n v="0"/>
    <n v="8514"/>
    <x v="13"/>
    <n v="4"/>
    <x v="10"/>
    <x v="10"/>
    <x v="0"/>
    <n v="34056"/>
    <n v="34056"/>
    <n v="25542"/>
    <n v="0.75"/>
    <x v="0"/>
  </r>
  <r>
    <n v="41"/>
    <x v="1"/>
    <x v="2"/>
    <x v="4"/>
    <x v="0"/>
    <n v="2178"/>
    <n v="250"/>
    <n v="15"/>
    <n v="0"/>
    <n v="21780"/>
    <x v="1"/>
    <n v="6"/>
    <x v="1"/>
    <x v="1"/>
    <x v="0"/>
    <n v="32670"/>
    <n v="32670"/>
    <n v="10890"/>
    <n v="0.33333333333333331"/>
    <x v="0"/>
  </r>
  <r>
    <n v="42"/>
    <x v="1"/>
    <x v="1"/>
    <x v="4"/>
    <x v="0"/>
    <n v="888"/>
    <n v="250"/>
    <n v="15"/>
    <n v="0"/>
    <n v="8880"/>
    <x v="1"/>
    <n v="6"/>
    <x v="1"/>
    <x v="1"/>
    <x v="0"/>
    <n v="13320"/>
    <n v="13320"/>
    <n v="4440"/>
    <n v="0.33333333333333331"/>
    <x v="0"/>
  </r>
  <r>
    <n v="43"/>
    <x v="0"/>
    <x v="2"/>
    <x v="4"/>
    <x v="0"/>
    <n v="1527"/>
    <n v="250"/>
    <n v="350"/>
    <n v="0"/>
    <n v="397020"/>
    <x v="9"/>
    <n v="9"/>
    <x v="6"/>
    <x v="6"/>
    <x v="1"/>
    <n v="534450"/>
    <n v="534450"/>
    <n v="137430"/>
    <n v="0.25714285714285712"/>
    <x v="0"/>
  </r>
  <r>
    <n v="44"/>
    <x v="4"/>
    <x v="2"/>
    <x v="4"/>
    <x v="0"/>
    <n v="2151"/>
    <n v="250"/>
    <n v="300"/>
    <n v="0"/>
    <n v="537750"/>
    <x v="6"/>
    <n v="9"/>
    <x v="6"/>
    <x v="6"/>
    <x v="0"/>
    <n v="645300"/>
    <n v="645300"/>
    <n v="107550"/>
    <n v="0.16666666666666666"/>
    <x v="2"/>
  </r>
  <r>
    <n v="45"/>
    <x v="0"/>
    <x v="0"/>
    <x v="4"/>
    <x v="0"/>
    <n v="1817"/>
    <n v="250"/>
    <n v="20"/>
    <n v="0"/>
    <n v="18170"/>
    <x v="2"/>
    <n v="12"/>
    <x v="2"/>
    <x v="2"/>
    <x v="0"/>
    <n v="36340"/>
    <n v="36340"/>
    <n v="18170"/>
    <n v="0.5"/>
    <x v="0"/>
  </r>
  <r>
    <n v="46"/>
    <x v="0"/>
    <x v="2"/>
    <x v="5"/>
    <x v="0"/>
    <n v="2750"/>
    <n v="260"/>
    <n v="350"/>
    <n v="0"/>
    <n v="715000"/>
    <x v="8"/>
    <n v="2"/>
    <x v="8"/>
    <x v="8"/>
    <x v="0"/>
    <n v="962500"/>
    <n v="962500"/>
    <n v="247500"/>
    <n v="0.25714285714285712"/>
    <x v="0"/>
  </r>
  <r>
    <n v="47"/>
    <x v="2"/>
    <x v="4"/>
    <x v="5"/>
    <x v="0"/>
    <n v="1953"/>
    <n v="260"/>
    <n v="12"/>
    <n v="0"/>
    <n v="5859"/>
    <x v="13"/>
    <n v="4"/>
    <x v="10"/>
    <x v="10"/>
    <x v="0"/>
    <n v="23436"/>
    <n v="23436"/>
    <n v="17577"/>
    <n v="0.75"/>
    <x v="0"/>
  </r>
  <r>
    <n v="48"/>
    <x v="3"/>
    <x v="1"/>
    <x v="5"/>
    <x v="0"/>
    <n v="4219.5"/>
    <n v="260"/>
    <n v="125"/>
    <n v="0"/>
    <n v="506340"/>
    <x v="13"/>
    <n v="4"/>
    <x v="10"/>
    <x v="10"/>
    <x v="0"/>
    <n v="527437.5"/>
    <n v="527437.5"/>
    <n v="21097.5"/>
    <n v="0.04"/>
    <x v="1"/>
  </r>
  <r>
    <n v="49"/>
    <x v="0"/>
    <x v="2"/>
    <x v="5"/>
    <x v="0"/>
    <n v="1899"/>
    <n v="260"/>
    <n v="20"/>
    <n v="0"/>
    <n v="18990"/>
    <x v="1"/>
    <n v="6"/>
    <x v="1"/>
    <x v="1"/>
    <x v="0"/>
    <n v="37980"/>
    <n v="37980"/>
    <n v="18990"/>
    <n v="0.5"/>
    <x v="0"/>
  </r>
  <r>
    <n v="50"/>
    <x v="0"/>
    <x v="1"/>
    <x v="5"/>
    <x v="0"/>
    <n v="1686"/>
    <n v="260"/>
    <n v="7"/>
    <n v="0"/>
    <n v="8430"/>
    <x v="4"/>
    <n v="7"/>
    <x v="4"/>
    <x v="4"/>
    <x v="0"/>
    <n v="11802"/>
    <n v="11802"/>
    <n v="3372"/>
    <n v="0.2857142857142857"/>
    <x v="0"/>
  </r>
  <r>
    <n v="51"/>
    <x v="2"/>
    <x v="4"/>
    <x v="5"/>
    <x v="0"/>
    <n v="2141"/>
    <n v="260"/>
    <n v="12"/>
    <n v="0"/>
    <n v="6423"/>
    <x v="5"/>
    <n v="8"/>
    <x v="5"/>
    <x v="5"/>
    <x v="0"/>
    <n v="25692"/>
    <n v="25692"/>
    <n v="19269"/>
    <n v="0.75"/>
    <x v="0"/>
  </r>
  <r>
    <n v="52"/>
    <x v="0"/>
    <x v="4"/>
    <x v="5"/>
    <x v="0"/>
    <n v="1143"/>
    <n v="260"/>
    <n v="7"/>
    <n v="0"/>
    <n v="5715"/>
    <x v="10"/>
    <n v="10"/>
    <x v="7"/>
    <x v="7"/>
    <x v="0"/>
    <n v="8001"/>
    <n v="8001"/>
    <n v="2286"/>
    <n v="0.2857142857142857"/>
    <x v="0"/>
  </r>
  <r>
    <n v="53"/>
    <x v="1"/>
    <x v="4"/>
    <x v="5"/>
    <x v="0"/>
    <n v="615"/>
    <n v="260"/>
    <n v="15"/>
    <n v="0"/>
    <n v="6150"/>
    <x v="2"/>
    <n v="12"/>
    <x v="2"/>
    <x v="2"/>
    <x v="0"/>
    <n v="9225"/>
    <n v="9225"/>
    <n v="3075"/>
    <n v="0.33333333333333331"/>
    <x v="0"/>
  </r>
  <r>
    <n v="54"/>
    <x v="0"/>
    <x v="2"/>
    <x v="2"/>
    <x v="1"/>
    <n v="3945"/>
    <n v="10"/>
    <n v="7"/>
    <n v="276.14999999999998"/>
    <n v="19725"/>
    <x v="0"/>
    <n v="1"/>
    <x v="0"/>
    <x v="0"/>
    <x v="0"/>
    <n v="27615"/>
    <n v="27338.85"/>
    <n v="7613.8499999999985"/>
    <n v="0.27849927849927847"/>
    <x v="0"/>
  </r>
  <r>
    <n v="55"/>
    <x v="1"/>
    <x v="2"/>
    <x v="2"/>
    <x v="1"/>
    <n v="2296"/>
    <n v="10"/>
    <n v="15"/>
    <n v="344.4"/>
    <n v="22960"/>
    <x v="8"/>
    <n v="2"/>
    <x v="8"/>
    <x v="8"/>
    <x v="0"/>
    <n v="34440"/>
    <n v="34095.599999999999"/>
    <n v="11135.599999999999"/>
    <n v="0.32659932659932656"/>
    <x v="0"/>
  </r>
  <r>
    <n v="56"/>
    <x v="0"/>
    <x v="2"/>
    <x v="2"/>
    <x v="1"/>
    <n v="1030"/>
    <n v="10"/>
    <n v="7"/>
    <n v="72.099999999999994"/>
    <n v="5150"/>
    <x v="14"/>
    <n v="5"/>
    <x v="11"/>
    <x v="11"/>
    <x v="0"/>
    <n v="7210"/>
    <n v="7137.9"/>
    <n v="1987.8999999999996"/>
    <n v="0.27849927849927847"/>
    <x v="0"/>
  </r>
  <r>
    <n v="57"/>
    <x v="0"/>
    <x v="2"/>
    <x v="3"/>
    <x v="1"/>
    <n v="639"/>
    <n v="120"/>
    <n v="7"/>
    <n v="44.73"/>
    <n v="3195"/>
    <x v="15"/>
    <n v="11"/>
    <x v="9"/>
    <x v="9"/>
    <x v="0"/>
    <n v="4473"/>
    <n v="4428.2700000000004"/>
    <n v="1233.2700000000004"/>
    <n v="0.27849927849927858"/>
    <x v="0"/>
  </r>
  <r>
    <n v="58"/>
    <x v="0"/>
    <x v="0"/>
    <x v="4"/>
    <x v="1"/>
    <n v="1326"/>
    <n v="250"/>
    <n v="7"/>
    <n v="92.82"/>
    <n v="6630"/>
    <x v="3"/>
    <n v="3"/>
    <x v="3"/>
    <x v="3"/>
    <x v="0"/>
    <n v="9282"/>
    <n v="9189.18"/>
    <n v="2559.1800000000003"/>
    <n v="0.27849927849927852"/>
    <x v="0"/>
  </r>
  <r>
    <n v="59"/>
    <x v="2"/>
    <x v="4"/>
    <x v="0"/>
    <x v="1"/>
    <n v="1858"/>
    <n v="3"/>
    <n v="12"/>
    <n v="222.96"/>
    <n v="5574"/>
    <x v="8"/>
    <n v="2"/>
    <x v="8"/>
    <x v="8"/>
    <x v="0"/>
    <n v="22296"/>
    <n v="22073.040000000001"/>
    <n v="16499.04"/>
    <n v="0.74747474747474751"/>
    <x v="0"/>
  </r>
  <r>
    <n v="60"/>
    <x v="0"/>
    <x v="3"/>
    <x v="0"/>
    <x v="1"/>
    <n v="1210"/>
    <n v="3"/>
    <n v="350"/>
    <n v="4235"/>
    <n v="314600"/>
    <x v="3"/>
    <n v="3"/>
    <x v="3"/>
    <x v="3"/>
    <x v="0"/>
    <n v="423500"/>
    <n v="419265"/>
    <n v="104665"/>
    <n v="0.24963924963924963"/>
    <x v="0"/>
  </r>
  <r>
    <n v="61"/>
    <x v="0"/>
    <x v="4"/>
    <x v="0"/>
    <x v="1"/>
    <n v="2529"/>
    <n v="3"/>
    <n v="7"/>
    <n v="177.03"/>
    <n v="12645"/>
    <x v="4"/>
    <n v="7"/>
    <x v="4"/>
    <x v="4"/>
    <x v="0"/>
    <n v="17703"/>
    <n v="17525.97"/>
    <n v="4880.9700000000012"/>
    <n v="0.27849927849927852"/>
    <x v="0"/>
  </r>
  <r>
    <n v="62"/>
    <x v="2"/>
    <x v="0"/>
    <x v="0"/>
    <x v="1"/>
    <n v="1445"/>
    <n v="3"/>
    <n v="12"/>
    <n v="173.4"/>
    <n v="4335"/>
    <x v="6"/>
    <n v="9"/>
    <x v="6"/>
    <x v="6"/>
    <x v="0"/>
    <n v="17340"/>
    <n v="17166.599999999999"/>
    <n v="12831.599999999999"/>
    <n v="0.7474747474747474"/>
    <x v="0"/>
  </r>
  <r>
    <n v="63"/>
    <x v="3"/>
    <x v="4"/>
    <x v="0"/>
    <x v="1"/>
    <n v="330"/>
    <n v="3"/>
    <n v="125"/>
    <n v="412.5"/>
    <n v="39600"/>
    <x v="9"/>
    <n v="9"/>
    <x v="6"/>
    <x v="6"/>
    <x v="1"/>
    <n v="41250"/>
    <n v="40837.5"/>
    <n v="1237.5"/>
    <n v="3.0303030303030304E-2"/>
    <x v="1"/>
  </r>
  <r>
    <n v="64"/>
    <x v="2"/>
    <x v="2"/>
    <x v="0"/>
    <x v="1"/>
    <n v="2671"/>
    <n v="3"/>
    <n v="12"/>
    <n v="320.52"/>
    <n v="8013"/>
    <x v="6"/>
    <n v="9"/>
    <x v="6"/>
    <x v="6"/>
    <x v="0"/>
    <n v="32052"/>
    <n v="31731.48"/>
    <n v="23718.48"/>
    <n v="0.74747474747474751"/>
    <x v="0"/>
  </r>
  <r>
    <n v="65"/>
    <x v="2"/>
    <x v="1"/>
    <x v="0"/>
    <x v="1"/>
    <n v="766"/>
    <n v="3"/>
    <n v="12"/>
    <n v="91.92"/>
    <n v="2298"/>
    <x v="7"/>
    <n v="10"/>
    <x v="7"/>
    <x v="7"/>
    <x v="1"/>
    <n v="9192"/>
    <n v="9100.08"/>
    <n v="6802.08"/>
    <n v="0.74747474747474751"/>
    <x v="0"/>
  </r>
  <r>
    <n v="66"/>
    <x v="4"/>
    <x v="3"/>
    <x v="0"/>
    <x v="1"/>
    <n v="494"/>
    <n v="3"/>
    <n v="300"/>
    <n v="1482"/>
    <n v="123500"/>
    <x v="7"/>
    <n v="10"/>
    <x v="7"/>
    <x v="7"/>
    <x v="1"/>
    <n v="148200"/>
    <n v="146718"/>
    <n v="23218"/>
    <n v="0.15824915824915825"/>
    <x v="2"/>
  </r>
  <r>
    <n v="67"/>
    <x v="0"/>
    <x v="3"/>
    <x v="0"/>
    <x v="1"/>
    <n v="1397"/>
    <n v="3"/>
    <n v="350"/>
    <n v="4889.5"/>
    <n v="363220"/>
    <x v="10"/>
    <n v="10"/>
    <x v="7"/>
    <x v="7"/>
    <x v="0"/>
    <n v="488950"/>
    <n v="484060.5"/>
    <n v="120840.5"/>
    <n v="0.24963924963924963"/>
    <x v="0"/>
  </r>
  <r>
    <n v="68"/>
    <x v="0"/>
    <x v="2"/>
    <x v="0"/>
    <x v="1"/>
    <n v="2155"/>
    <n v="3"/>
    <n v="350"/>
    <n v="7542.5"/>
    <n v="560300"/>
    <x v="2"/>
    <n v="12"/>
    <x v="2"/>
    <x v="2"/>
    <x v="0"/>
    <n v="754250"/>
    <n v="746707.5"/>
    <n v="186407.5"/>
    <n v="0.24963924963924963"/>
    <x v="0"/>
  </r>
  <r>
    <n v="69"/>
    <x v="1"/>
    <x v="3"/>
    <x v="1"/>
    <x v="1"/>
    <n v="2214"/>
    <n v="5"/>
    <n v="15"/>
    <n v="332.1"/>
    <n v="22140"/>
    <x v="3"/>
    <n v="3"/>
    <x v="3"/>
    <x v="3"/>
    <x v="0"/>
    <n v="33210"/>
    <n v="32877.9"/>
    <n v="10737.900000000001"/>
    <n v="0.32659932659932661"/>
    <x v="0"/>
  </r>
  <r>
    <n v="70"/>
    <x v="4"/>
    <x v="4"/>
    <x v="1"/>
    <x v="1"/>
    <n v="2301"/>
    <n v="5"/>
    <n v="300"/>
    <n v="6903"/>
    <n v="575250"/>
    <x v="13"/>
    <n v="4"/>
    <x v="10"/>
    <x v="10"/>
    <x v="0"/>
    <n v="690300"/>
    <n v="683397"/>
    <n v="108147"/>
    <n v="0.15824915824915825"/>
    <x v="2"/>
  </r>
  <r>
    <n v="71"/>
    <x v="0"/>
    <x v="2"/>
    <x v="1"/>
    <x v="1"/>
    <n v="1375.5"/>
    <n v="5"/>
    <n v="20"/>
    <n v="275.10000000000002"/>
    <n v="13755"/>
    <x v="4"/>
    <n v="7"/>
    <x v="4"/>
    <x v="4"/>
    <x v="0"/>
    <n v="27510"/>
    <n v="27234.9"/>
    <n v="13479.900000000001"/>
    <n v="0.49494949494949497"/>
    <x v="0"/>
  </r>
  <r>
    <n v="72"/>
    <x v="0"/>
    <x v="0"/>
    <x v="1"/>
    <x v="1"/>
    <n v="1830"/>
    <n v="5"/>
    <n v="7"/>
    <n v="128.1"/>
    <n v="9150"/>
    <x v="5"/>
    <n v="8"/>
    <x v="5"/>
    <x v="5"/>
    <x v="0"/>
    <n v="12810"/>
    <n v="12681.9"/>
    <n v="3531.8999999999996"/>
    <n v="0.27849927849927847"/>
    <x v="0"/>
  </r>
  <r>
    <n v="73"/>
    <x v="4"/>
    <x v="4"/>
    <x v="1"/>
    <x v="1"/>
    <n v="2498"/>
    <n v="5"/>
    <n v="300"/>
    <n v="7494"/>
    <n v="624500"/>
    <x v="9"/>
    <n v="9"/>
    <x v="6"/>
    <x v="6"/>
    <x v="1"/>
    <n v="749400"/>
    <n v="741906"/>
    <n v="117406"/>
    <n v="0.15824915824915825"/>
    <x v="2"/>
  </r>
  <r>
    <n v="74"/>
    <x v="3"/>
    <x v="4"/>
    <x v="1"/>
    <x v="1"/>
    <n v="663"/>
    <n v="5"/>
    <n v="125"/>
    <n v="828.75"/>
    <n v="79560"/>
    <x v="7"/>
    <n v="10"/>
    <x v="7"/>
    <x v="7"/>
    <x v="1"/>
    <n v="82875"/>
    <n v="82046.25"/>
    <n v="2486.25"/>
    <n v="3.0303030303030304E-2"/>
    <x v="1"/>
  </r>
  <r>
    <n v="75"/>
    <x v="1"/>
    <x v="4"/>
    <x v="2"/>
    <x v="1"/>
    <n v="1514"/>
    <n v="10"/>
    <n v="15"/>
    <n v="227.1"/>
    <n v="15140"/>
    <x v="8"/>
    <n v="2"/>
    <x v="8"/>
    <x v="8"/>
    <x v="0"/>
    <n v="22710"/>
    <n v="22482.9"/>
    <n v="7342.9000000000015"/>
    <n v="0.32659932659932667"/>
    <x v="0"/>
  </r>
  <r>
    <n v="76"/>
    <x v="0"/>
    <x v="4"/>
    <x v="2"/>
    <x v="1"/>
    <n v="4492.5"/>
    <n v="10"/>
    <n v="7"/>
    <n v="314.47500000000002"/>
    <n v="22462.5"/>
    <x v="13"/>
    <n v="4"/>
    <x v="10"/>
    <x v="10"/>
    <x v="0"/>
    <n v="31447.5"/>
    <n v="31133.025000000001"/>
    <n v="8670.5250000000015"/>
    <n v="0.27849927849927852"/>
    <x v="0"/>
  </r>
  <r>
    <n v="77"/>
    <x v="3"/>
    <x v="4"/>
    <x v="2"/>
    <x v="1"/>
    <n v="727"/>
    <n v="10"/>
    <n v="125"/>
    <n v="908.75"/>
    <n v="87240"/>
    <x v="1"/>
    <n v="6"/>
    <x v="1"/>
    <x v="1"/>
    <x v="0"/>
    <n v="90875"/>
    <n v="89966.25"/>
    <n v="2726.25"/>
    <n v="3.0303030303030304E-2"/>
    <x v="1"/>
  </r>
  <r>
    <n v="78"/>
    <x v="3"/>
    <x v="2"/>
    <x v="2"/>
    <x v="1"/>
    <n v="787"/>
    <n v="10"/>
    <n v="125"/>
    <n v="983.75"/>
    <n v="94440"/>
    <x v="1"/>
    <n v="6"/>
    <x v="1"/>
    <x v="1"/>
    <x v="0"/>
    <n v="98375"/>
    <n v="97391.25"/>
    <n v="2951.25"/>
    <n v="3.0303030303030304E-2"/>
    <x v="1"/>
  </r>
  <r>
    <n v="79"/>
    <x v="3"/>
    <x v="3"/>
    <x v="2"/>
    <x v="1"/>
    <n v="1823"/>
    <n v="10"/>
    <n v="125"/>
    <n v="2278.75"/>
    <n v="218760"/>
    <x v="4"/>
    <n v="7"/>
    <x v="4"/>
    <x v="4"/>
    <x v="0"/>
    <n v="227875"/>
    <n v="225596.25"/>
    <n v="6836.25"/>
    <n v="3.0303030303030304E-2"/>
    <x v="1"/>
  </r>
  <r>
    <n v="80"/>
    <x v="1"/>
    <x v="1"/>
    <x v="2"/>
    <x v="1"/>
    <n v="747"/>
    <n v="10"/>
    <n v="15"/>
    <n v="112.05"/>
    <n v="7470"/>
    <x v="6"/>
    <n v="9"/>
    <x v="6"/>
    <x v="6"/>
    <x v="0"/>
    <n v="11205"/>
    <n v="11092.95"/>
    <n v="3622.9500000000007"/>
    <n v="0.32659932659932667"/>
    <x v="0"/>
  </r>
  <r>
    <n v="81"/>
    <x v="2"/>
    <x v="1"/>
    <x v="2"/>
    <x v="1"/>
    <n v="766"/>
    <n v="10"/>
    <n v="12"/>
    <n v="91.92"/>
    <n v="2298"/>
    <x v="7"/>
    <n v="10"/>
    <x v="7"/>
    <x v="7"/>
    <x v="1"/>
    <n v="9192"/>
    <n v="9100.08"/>
    <n v="6802.08"/>
    <n v="0.74747474747474751"/>
    <x v="0"/>
  </r>
  <r>
    <n v="82"/>
    <x v="4"/>
    <x v="4"/>
    <x v="2"/>
    <x v="1"/>
    <n v="2905"/>
    <n v="10"/>
    <n v="300"/>
    <n v="8715"/>
    <n v="726250"/>
    <x v="15"/>
    <n v="11"/>
    <x v="9"/>
    <x v="9"/>
    <x v="0"/>
    <n v="871500"/>
    <n v="862785"/>
    <n v="136535"/>
    <n v="0.15824915824915825"/>
    <x v="2"/>
  </r>
  <r>
    <n v="83"/>
    <x v="0"/>
    <x v="2"/>
    <x v="2"/>
    <x v="1"/>
    <n v="2155"/>
    <n v="10"/>
    <n v="350"/>
    <n v="7542.5"/>
    <n v="560300"/>
    <x v="2"/>
    <n v="12"/>
    <x v="2"/>
    <x v="2"/>
    <x v="0"/>
    <n v="754250"/>
    <n v="746707.5"/>
    <n v="186407.5"/>
    <n v="0.24963924963924963"/>
    <x v="0"/>
  </r>
  <r>
    <n v="84"/>
    <x v="0"/>
    <x v="2"/>
    <x v="3"/>
    <x v="1"/>
    <n v="3864"/>
    <n v="120"/>
    <n v="20"/>
    <n v="772.80000000000007"/>
    <n v="38640"/>
    <x v="13"/>
    <n v="4"/>
    <x v="10"/>
    <x v="10"/>
    <x v="0"/>
    <n v="77280"/>
    <n v="76507.199999999997"/>
    <n v="37867.199999999997"/>
    <n v="0.49494949494949492"/>
    <x v="0"/>
  </r>
  <r>
    <n v="85"/>
    <x v="0"/>
    <x v="3"/>
    <x v="3"/>
    <x v="1"/>
    <n v="362"/>
    <n v="120"/>
    <n v="7"/>
    <n v="25.34"/>
    <n v="1810"/>
    <x v="14"/>
    <n v="5"/>
    <x v="11"/>
    <x v="11"/>
    <x v="0"/>
    <n v="2534"/>
    <n v="2508.66"/>
    <n v="698.65999999999985"/>
    <n v="0.27849927849927847"/>
    <x v="0"/>
  </r>
  <r>
    <n v="86"/>
    <x v="3"/>
    <x v="0"/>
    <x v="3"/>
    <x v="1"/>
    <n v="923"/>
    <n v="120"/>
    <n v="125"/>
    <n v="1153.75"/>
    <n v="110760"/>
    <x v="5"/>
    <n v="8"/>
    <x v="5"/>
    <x v="5"/>
    <x v="0"/>
    <n v="115375"/>
    <n v="114221.25"/>
    <n v="3461.25"/>
    <n v="3.0303030303030304E-2"/>
    <x v="1"/>
  </r>
  <r>
    <n v="87"/>
    <x v="3"/>
    <x v="4"/>
    <x v="3"/>
    <x v="1"/>
    <n v="663"/>
    <n v="120"/>
    <n v="125"/>
    <n v="828.75"/>
    <n v="79560"/>
    <x v="7"/>
    <n v="10"/>
    <x v="7"/>
    <x v="7"/>
    <x v="1"/>
    <n v="82875"/>
    <n v="82046.25"/>
    <n v="2486.25"/>
    <n v="3.0303030303030304E-2"/>
    <x v="1"/>
  </r>
  <r>
    <n v="88"/>
    <x v="0"/>
    <x v="0"/>
    <x v="3"/>
    <x v="1"/>
    <n v="2092"/>
    <n v="120"/>
    <n v="7"/>
    <n v="146.44"/>
    <n v="10460"/>
    <x v="11"/>
    <n v="11"/>
    <x v="9"/>
    <x v="9"/>
    <x v="1"/>
    <n v="14644"/>
    <n v="14497.56"/>
    <n v="4037.5599999999995"/>
    <n v="0.27849927849927847"/>
    <x v="0"/>
  </r>
  <r>
    <n v="89"/>
    <x v="0"/>
    <x v="1"/>
    <x v="4"/>
    <x v="1"/>
    <n v="263"/>
    <n v="250"/>
    <n v="7"/>
    <n v="18.41"/>
    <n v="1315"/>
    <x v="3"/>
    <n v="3"/>
    <x v="3"/>
    <x v="3"/>
    <x v="0"/>
    <n v="1841"/>
    <n v="1822.59"/>
    <n v="507.58999999999992"/>
    <n v="0.27849927849927847"/>
    <x v="0"/>
  </r>
  <r>
    <n v="90"/>
    <x v="0"/>
    <x v="0"/>
    <x v="4"/>
    <x v="1"/>
    <n v="943.5"/>
    <n v="250"/>
    <n v="350"/>
    <n v="3302.25"/>
    <n v="245310"/>
    <x v="13"/>
    <n v="4"/>
    <x v="10"/>
    <x v="10"/>
    <x v="0"/>
    <n v="330225"/>
    <n v="326922.75"/>
    <n v="81612.75"/>
    <n v="0.24963924963924963"/>
    <x v="0"/>
  </r>
  <r>
    <n v="91"/>
    <x v="3"/>
    <x v="4"/>
    <x v="4"/>
    <x v="1"/>
    <n v="727"/>
    <n v="250"/>
    <n v="125"/>
    <n v="908.75"/>
    <n v="87240"/>
    <x v="1"/>
    <n v="6"/>
    <x v="1"/>
    <x v="1"/>
    <x v="0"/>
    <n v="90875"/>
    <n v="89966.25"/>
    <n v="2726.25"/>
    <n v="3.0303030303030304E-2"/>
    <x v="1"/>
  </r>
  <r>
    <n v="92"/>
    <x v="3"/>
    <x v="2"/>
    <x v="4"/>
    <x v="1"/>
    <n v="787"/>
    <n v="250"/>
    <n v="125"/>
    <n v="983.75"/>
    <n v="94440"/>
    <x v="1"/>
    <n v="6"/>
    <x v="1"/>
    <x v="1"/>
    <x v="0"/>
    <n v="98375"/>
    <n v="97391.25"/>
    <n v="2951.25"/>
    <n v="3.0303030303030304E-2"/>
    <x v="1"/>
  </r>
  <r>
    <n v="93"/>
    <x v="4"/>
    <x v="1"/>
    <x v="4"/>
    <x v="1"/>
    <n v="986"/>
    <n v="250"/>
    <n v="300"/>
    <n v="2958"/>
    <n v="246500"/>
    <x v="6"/>
    <n v="9"/>
    <x v="6"/>
    <x v="6"/>
    <x v="0"/>
    <n v="295800"/>
    <n v="292842"/>
    <n v="46342"/>
    <n v="0.15824915824915825"/>
    <x v="2"/>
  </r>
  <r>
    <n v="94"/>
    <x v="4"/>
    <x v="3"/>
    <x v="4"/>
    <x v="1"/>
    <n v="494"/>
    <n v="250"/>
    <n v="300"/>
    <n v="1482"/>
    <n v="123500"/>
    <x v="7"/>
    <n v="10"/>
    <x v="7"/>
    <x v="7"/>
    <x v="1"/>
    <n v="148200"/>
    <n v="146718"/>
    <n v="23218"/>
    <n v="0.15824915824915825"/>
    <x v="2"/>
  </r>
  <r>
    <n v="95"/>
    <x v="0"/>
    <x v="3"/>
    <x v="4"/>
    <x v="1"/>
    <n v="1397"/>
    <n v="250"/>
    <n v="350"/>
    <n v="4889.5"/>
    <n v="363220"/>
    <x v="10"/>
    <n v="10"/>
    <x v="7"/>
    <x v="7"/>
    <x v="0"/>
    <n v="488950"/>
    <n v="484060.5"/>
    <n v="120840.5"/>
    <n v="0.24963924963924963"/>
    <x v="0"/>
  </r>
  <r>
    <n v="96"/>
    <x v="3"/>
    <x v="2"/>
    <x v="4"/>
    <x v="1"/>
    <n v="1744"/>
    <n v="250"/>
    <n v="125"/>
    <n v="2180"/>
    <n v="209280"/>
    <x v="15"/>
    <n v="11"/>
    <x v="9"/>
    <x v="9"/>
    <x v="0"/>
    <n v="218000"/>
    <n v="215820"/>
    <n v="6540"/>
    <n v="3.0303030303030304E-2"/>
    <x v="1"/>
  </r>
  <r>
    <n v="97"/>
    <x v="2"/>
    <x v="4"/>
    <x v="5"/>
    <x v="1"/>
    <n v="1989"/>
    <n v="260"/>
    <n v="12"/>
    <n v="238.68"/>
    <n v="5967"/>
    <x v="9"/>
    <n v="9"/>
    <x v="6"/>
    <x v="6"/>
    <x v="1"/>
    <n v="23868"/>
    <n v="23629.32"/>
    <n v="17662.32"/>
    <n v="0.74747474747474751"/>
    <x v="0"/>
  </r>
  <r>
    <n v="98"/>
    <x v="1"/>
    <x v="2"/>
    <x v="5"/>
    <x v="1"/>
    <n v="321"/>
    <n v="260"/>
    <n v="15"/>
    <n v="48.15"/>
    <n v="3210"/>
    <x v="11"/>
    <n v="11"/>
    <x v="9"/>
    <x v="9"/>
    <x v="1"/>
    <n v="4815"/>
    <n v="4766.8500000000004"/>
    <n v="1556.8500000000004"/>
    <n v="0.32659932659932667"/>
    <x v="0"/>
  </r>
  <r>
    <n v="99"/>
    <x v="3"/>
    <x v="0"/>
    <x v="0"/>
    <x v="1"/>
    <n v="742.5"/>
    <n v="3"/>
    <n v="125"/>
    <n v="1856.25"/>
    <n v="89100"/>
    <x v="13"/>
    <n v="4"/>
    <x v="10"/>
    <x v="10"/>
    <x v="0"/>
    <n v="92812.5"/>
    <n v="90956.25"/>
    <n v="1856.25"/>
    <n v="2.0408163265306121E-2"/>
    <x v="1"/>
  </r>
  <r>
    <n v="100"/>
    <x v="2"/>
    <x v="0"/>
    <x v="0"/>
    <x v="1"/>
    <n v="1295"/>
    <n v="3"/>
    <n v="12"/>
    <n v="310.8"/>
    <n v="3885"/>
    <x v="10"/>
    <n v="10"/>
    <x v="7"/>
    <x v="7"/>
    <x v="0"/>
    <n v="15540"/>
    <n v="15229.2"/>
    <n v="11344.2"/>
    <n v="0.74489795918367352"/>
    <x v="0"/>
  </r>
  <r>
    <n v="101"/>
    <x v="4"/>
    <x v="1"/>
    <x v="0"/>
    <x v="1"/>
    <n v="214"/>
    <n v="3"/>
    <n v="300"/>
    <n v="1284"/>
    <n v="53500"/>
    <x v="7"/>
    <n v="10"/>
    <x v="7"/>
    <x v="7"/>
    <x v="1"/>
    <n v="64200"/>
    <n v="62916"/>
    <n v="9416"/>
    <n v="0.14965986394557823"/>
    <x v="2"/>
  </r>
  <r>
    <n v="102"/>
    <x v="0"/>
    <x v="2"/>
    <x v="0"/>
    <x v="1"/>
    <n v="2145"/>
    <n v="3"/>
    <n v="7"/>
    <n v="300.3"/>
    <n v="10725"/>
    <x v="11"/>
    <n v="11"/>
    <x v="9"/>
    <x v="9"/>
    <x v="1"/>
    <n v="15015"/>
    <n v="14714.7"/>
    <n v="3989.7000000000007"/>
    <n v="0.2711370262390671"/>
    <x v="0"/>
  </r>
  <r>
    <n v="103"/>
    <x v="0"/>
    <x v="0"/>
    <x v="0"/>
    <x v="1"/>
    <n v="2852"/>
    <n v="3"/>
    <n v="350"/>
    <n v="19964"/>
    <n v="741520"/>
    <x v="2"/>
    <n v="12"/>
    <x v="2"/>
    <x v="2"/>
    <x v="0"/>
    <n v="998200"/>
    <n v="978236"/>
    <n v="236716"/>
    <n v="0.24198250728862974"/>
    <x v="0"/>
  </r>
  <r>
    <n v="104"/>
    <x v="2"/>
    <x v="4"/>
    <x v="1"/>
    <x v="1"/>
    <n v="1142"/>
    <n v="5"/>
    <n v="12"/>
    <n v="274.08"/>
    <n v="3426"/>
    <x v="1"/>
    <n v="6"/>
    <x v="1"/>
    <x v="1"/>
    <x v="0"/>
    <n v="13704"/>
    <n v="13429.92"/>
    <n v="10003.92"/>
    <n v="0.74489795918367352"/>
    <x v="0"/>
  </r>
  <r>
    <n v="105"/>
    <x v="0"/>
    <x v="4"/>
    <x v="1"/>
    <x v="1"/>
    <n v="1566"/>
    <n v="5"/>
    <n v="20"/>
    <n v="626.4"/>
    <n v="15660"/>
    <x v="10"/>
    <n v="10"/>
    <x v="7"/>
    <x v="7"/>
    <x v="0"/>
    <n v="31320"/>
    <n v="30693.599999999999"/>
    <n v="15033.599999999999"/>
    <n v="0.48979591836734693"/>
    <x v="0"/>
  </r>
  <r>
    <n v="106"/>
    <x v="2"/>
    <x v="3"/>
    <x v="1"/>
    <x v="1"/>
    <n v="690"/>
    <n v="5"/>
    <n v="12"/>
    <n v="165.6"/>
    <n v="2070"/>
    <x v="15"/>
    <n v="11"/>
    <x v="9"/>
    <x v="9"/>
    <x v="0"/>
    <n v="8280"/>
    <n v="8114.4"/>
    <n v="6044.4"/>
    <n v="0.74489795918367341"/>
    <x v="0"/>
  </r>
  <r>
    <n v="107"/>
    <x v="3"/>
    <x v="3"/>
    <x v="1"/>
    <x v="1"/>
    <n v="1660"/>
    <n v="5"/>
    <n v="125"/>
    <n v="4150"/>
    <n v="199200"/>
    <x v="11"/>
    <n v="11"/>
    <x v="9"/>
    <x v="9"/>
    <x v="1"/>
    <n v="207500"/>
    <n v="203350"/>
    <n v="4150"/>
    <n v="2.0408163265306121E-2"/>
    <x v="1"/>
  </r>
  <r>
    <n v="108"/>
    <x v="1"/>
    <x v="0"/>
    <x v="2"/>
    <x v="1"/>
    <n v="2363"/>
    <n v="10"/>
    <n v="15"/>
    <n v="708.9"/>
    <n v="23630"/>
    <x v="8"/>
    <n v="2"/>
    <x v="8"/>
    <x v="8"/>
    <x v="0"/>
    <n v="35445"/>
    <n v="34736.1"/>
    <n v="11106.099999999999"/>
    <n v="0.31972789115646255"/>
    <x v="0"/>
  </r>
  <r>
    <n v="109"/>
    <x v="4"/>
    <x v="2"/>
    <x v="2"/>
    <x v="1"/>
    <n v="918"/>
    <n v="10"/>
    <n v="300"/>
    <n v="5508"/>
    <n v="229500"/>
    <x v="14"/>
    <n v="5"/>
    <x v="11"/>
    <x v="11"/>
    <x v="0"/>
    <n v="275400"/>
    <n v="269892"/>
    <n v="40392"/>
    <n v="0.14965986394557823"/>
    <x v="2"/>
  </r>
  <r>
    <n v="110"/>
    <x v="4"/>
    <x v="1"/>
    <x v="2"/>
    <x v="1"/>
    <n v="1728"/>
    <n v="10"/>
    <n v="300"/>
    <n v="10368"/>
    <n v="432000"/>
    <x v="14"/>
    <n v="5"/>
    <x v="11"/>
    <x v="11"/>
    <x v="0"/>
    <n v="518400"/>
    <n v="508032"/>
    <n v="76032"/>
    <n v="0.14965986394557823"/>
    <x v="2"/>
  </r>
  <r>
    <n v="111"/>
    <x v="2"/>
    <x v="4"/>
    <x v="2"/>
    <x v="1"/>
    <n v="1142"/>
    <n v="10"/>
    <n v="12"/>
    <n v="274.08"/>
    <n v="3426"/>
    <x v="1"/>
    <n v="6"/>
    <x v="1"/>
    <x v="1"/>
    <x v="0"/>
    <n v="13704"/>
    <n v="13429.92"/>
    <n v="10003.92"/>
    <n v="0.74489795918367352"/>
    <x v="0"/>
  </r>
  <r>
    <n v="112"/>
    <x v="3"/>
    <x v="3"/>
    <x v="2"/>
    <x v="1"/>
    <n v="662"/>
    <n v="10"/>
    <n v="125"/>
    <n v="1655"/>
    <n v="79440"/>
    <x v="1"/>
    <n v="6"/>
    <x v="1"/>
    <x v="1"/>
    <x v="0"/>
    <n v="82750"/>
    <n v="81095"/>
    <n v="1655"/>
    <n v="2.0408163265306121E-2"/>
    <x v="1"/>
  </r>
  <r>
    <n v="113"/>
    <x v="2"/>
    <x v="0"/>
    <x v="2"/>
    <x v="1"/>
    <n v="1295"/>
    <n v="10"/>
    <n v="12"/>
    <n v="310.8"/>
    <n v="3885"/>
    <x v="10"/>
    <n v="10"/>
    <x v="7"/>
    <x v="7"/>
    <x v="0"/>
    <n v="15540"/>
    <n v="15229.2"/>
    <n v="11344.2"/>
    <n v="0.74489795918367352"/>
    <x v="0"/>
  </r>
  <r>
    <n v="114"/>
    <x v="3"/>
    <x v="1"/>
    <x v="2"/>
    <x v="1"/>
    <n v="809"/>
    <n v="10"/>
    <n v="125"/>
    <n v="2022.5"/>
    <n v="97080"/>
    <x v="7"/>
    <n v="10"/>
    <x v="7"/>
    <x v="7"/>
    <x v="1"/>
    <n v="101125"/>
    <n v="99102.5"/>
    <n v="2022.5"/>
    <n v="2.0408163265306121E-2"/>
    <x v="1"/>
  </r>
  <r>
    <n v="115"/>
    <x v="3"/>
    <x v="3"/>
    <x v="2"/>
    <x v="1"/>
    <n v="2145"/>
    <n v="10"/>
    <n v="125"/>
    <n v="5362.5"/>
    <n v="257400"/>
    <x v="7"/>
    <n v="10"/>
    <x v="7"/>
    <x v="7"/>
    <x v="1"/>
    <n v="268125"/>
    <n v="262762.5"/>
    <n v="5362.5"/>
    <n v="2.0408163265306121E-2"/>
    <x v="1"/>
  </r>
  <r>
    <n v="116"/>
    <x v="2"/>
    <x v="2"/>
    <x v="2"/>
    <x v="1"/>
    <n v="1785"/>
    <n v="10"/>
    <n v="12"/>
    <n v="428.4"/>
    <n v="5355"/>
    <x v="11"/>
    <n v="11"/>
    <x v="9"/>
    <x v="9"/>
    <x v="1"/>
    <n v="21420"/>
    <n v="20991.599999999999"/>
    <n v="15636.599999999999"/>
    <n v="0.74489795918367341"/>
    <x v="0"/>
  </r>
  <r>
    <n v="117"/>
    <x v="4"/>
    <x v="0"/>
    <x v="2"/>
    <x v="1"/>
    <n v="1916"/>
    <n v="10"/>
    <n v="300"/>
    <n v="11496"/>
    <n v="479000"/>
    <x v="2"/>
    <n v="12"/>
    <x v="2"/>
    <x v="2"/>
    <x v="0"/>
    <n v="574800"/>
    <n v="563304"/>
    <n v="84304"/>
    <n v="0.14965986394557823"/>
    <x v="2"/>
  </r>
  <r>
    <n v="118"/>
    <x v="0"/>
    <x v="0"/>
    <x v="2"/>
    <x v="1"/>
    <n v="2852"/>
    <n v="10"/>
    <n v="350"/>
    <n v="19964"/>
    <n v="741520"/>
    <x v="2"/>
    <n v="12"/>
    <x v="2"/>
    <x v="2"/>
    <x v="0"/>
    <n v="998200"/>
    <n v="978236"/>
    <n v="236716"/>
    <n v="0.24198250728862974"/>
    <x v="0"/>
  </r>
  <r>
    <n v="119"/>
    <x v="3"/>
    <x v="0"/>
    <x v="2"/>
    <x v="1"/>
    <n v="2729"/>
    <n v="10"/>
    <n v="125"/>
    <n v="6822.5"/>
    <n v="327480"/>
    <x v="2"/>
    <n v="12"/>
    <x v="2"/>
    <x v="2"/>
    <x v="0"/>
    <n v="341125"/>
    <n v="334302.5"/>
    <n v="6822.5"/>
    <n v="2.0408163265306121E-2"/>
    <x v="1"/>
  </r>
  <r>
    <n v="120"/>
    <x v="1"/>
    <x v="4"/>
    <x v="2"/>
    <x v="1"/>
    <n v="1925"/>
    <n v="10"/>
    <n v="15"/>
    <n v="577.5"/>
    <n v="19250"/>
    <x v="12"/>
    <n v="12"/>
    <x v="2"/>
    <x v="2"/>
    <x v="1"/>
    <n v="28875"/>
    <n v="28297.5"/>
    <n v="9047.5"/>
    <n v="0.31972789115646261"/>
    <x v="0"/>
  </r>
  <r>
    <n v="121"/>
    <x v="0"/>
    <x v="4"/>
    <x v="2"/>
    <x v="1"/>
    <n v="2013"/>
    <n v="10"/>
    <n v="7"/>
    <n v="281.82"/>
    <n v="10065"/>
    <x v="12"/>
    <n v="12"/>
    <x v="2"/>
    <x v="2"/>
    <x v="1"/>
    <n v="14091"/>
    <n v="13809.18"/>
    <n v="3744.1800000000003"/>
    <n v="0.27113702623906705"/>
    <x v="0"/>
  </r>
  <r>
    <n v="122"/>
    <x v="2"/>
    <x v="2"/>
    <x v="2"/>
    <x v="1"/>
    <n v="1055"/>
    <n v="10"/>
    <n v="12"/>
    <n v="253.2"/>
    <n v="3165"/>
    <x v="2"/>
    <n v="12"/>
    <x v="2"/>
    <x v="2"/>
    <x v="0"/>
    <n v="12660"/>
    <n v="12406.8"/>
    <n v="9241.7999999999993"/>
    <n v="0.74489795918367341"/>
    <x v="0"/>
  </r>
  <r>
    <n v="123"/>
    <x v="2"/>
    <x v="3"/>
    <x v="2"/>
    <x v="1"/>
    <n v="1084"/>
    <n v="10"/>
    <n v="12"/>
    <n v="260.16000000000003"/>
    <n v="3252"/>
    <x v="2"/>
    <n v="12"/>
    <x v="2"/>
    <x v="2"/>
    <x v="0"/>
    <n v="13008"/>
    <n v="12747.84"/>
    <n v="9495.84"/>
    <n v="0.74489795918367352"/>
    <x v="0"/>
  </r>
  <r>
    <n v="124"/>
    <x v="0"/>
    <x v="4"/>
    <x v="3"/>
    <x v="1"/>
    <n v="1566"/>
    <n v="120"/>
    <n v="20"/>
    <n v="626.4"/>
    <n v="15660"/>
    <x v="10"/>
    <n v="10"/>
    <x v="7"/>
    <x v="7"/>
    <x v="0"/>
    <n v="31320"/>
    <n v="30693.599999999999"/>
    <n v="15033.599999999999"/>
    <n v="0.48979591836734693"/>
    <x v="0"/>
  </r>
  <r>
    <n v="125"/>
    <x v="0"/>
    <x v="1"/>
    <x v="3"/>
    <x v="1"/>
    <n v="2966"/>
    <n v="120"/>
    <n v="350"/>
    <n v="20762"/>
    <n v="771160"/>
    <x v="7"/>
    <n v="10"/>
    <x v="7"/>
    <x v="7"/>
    <x v="1"/>
    <n v="1038100"/>
    <n v="1017338"/>
    <n v="246178"/>
    <n v="0.24198250728862974"/>
    <x v="0"/>
  </r>
  <r>
    <n v="126"/>
    <x v="0"/>
    <x v="1"/>
    <x v="3"/>
    <x v="1"/>
    <n v="2877"/>
    <n v="120"/>
    <n v="350"/>
    <n v="20139"/>
    <n v="748020"/>
    <x v="10"/>
    <n v="10"/>
    <x v="7"/>
    <x v="7"/>
    <x v="0"/>
    <n v="1006950"/>
    <n v="986811"/>
    <n v="238791"/>
    <n v="0.24198250728862974"/>
    <x v="0"/>
  </r>
  <r>
    <n v="127"/>
    <x v="3"/>
    <x v="1"/>
    <x v="3"/>
    <x v="1"/>
    <n v="809"/>
    <n v="120"/>
    <n v="125"/>
    <n v="2022.5"/>
    <n v="97080"/>
    <x v="7"/>
    <n v="10"/>
    <x v="7"/>
    <x v="7"/>
    <x v="1"/>
    <n v="101125"/>
    <n v="99102.5"/>
    <n v="2022.5"/>
    <n v="2.0408163265306121E-2"/>
    <x v="1"/>
  </r>
  <r>
    <n v="128"/>
    <x v="3"/>
    <x v="3"/>
    <x v="3"/>
    <x v="1"/>
    <n v="2145"/>
    <n v="120"/>
    <n v="125"/>
    <n v="5362.5"/>
    <n v="257400"/>
    <x v="7"/>
    <n v="10"/>
    <x v="7"/>
    <x v="7"/>
    <x v="1"/>
    <n v="268125"/>
    <n v="262762.5"/>
    <n v="5362.5"/>
    <n v="2.0408163265306121E-2"/>
    <x v="1"/>
  </r>
  <r>
    <n v="129"/>
    <x v="2"/>
    <x v="2"/>
    <x v="3"/>
    <x v="1"/>
    <n v="1055"/>
    <n v="120"/>
    <n v="12"/>
    <n v="253.2"/>
    <n v="3165"/>
    <x v="2"/>
    <n v="12"/>
    <x v="2"/>
    <x v="2"/>
    <x v="0"/>
    <n v="12660"/>
    <n v="12406.8"/>
    <n v="9241.7999999999993"/>
    <n v="0.74489795918367341"/>
    <x v="0"/>
  </r>
  <r>
    <n v="130"/>
    <x v="0"/>
    <x v="3"/>
    <x v="3"/>
    <x v="1"/>
    <n v="544"/>
    <n v="120"/>
    <n v="20"/>
    <n v="217.6"/>
    <n v="5440"/>
    <x v="12"/>
    <n v="12"/>
    <x v="2"/>
    <x v="2"/>
    <x v="1"/>
    <n v="10880"/>
    <n v="10662.4"/>
    <n v="5222.3999999999996"/>
    <n v="0.48979591836734693"/>
    <x v="0"/>
  </r>
  <r>
    <n v="131"/>
    <x v="2"/>
    <x v="3"/>
    <x v="3"/>
    <x v="1"/>
    <n v="1084"/>
    <n v="120"/>
    <n v="12"/>
    <n v="260.16000000000003"/>
    <n v="3252"/>
    <x v="2"/>
    <n v="12"/>
    <x v="2"/>
    <x v="2"/>
    <x v="0"/>
    <n v="13008"/>
    <n v="12747.84"/>
    <n v="9495.84"/>
    <n v="0.74489795918367352"/>
    <x v="0"/>
  </r>
  <r>
    <n v="132"/>
    <x v="3"/>
    <x v="3"/>
    <x v="4"/>
    <x v="1"/>
    <n v="662"/>
    <n v="250"/>
    <n v="125"/>
    <n v="1655"/>
    <n v="79440"/>
    <x v="1"/>
    <n v="6"/>
    <x v="1"/>
    <x v="1"/>
    <x v="0"/>
    <n v="82750"/>
    <n v="81095"/>
    <n v="1655"/>
    <n v="2.0408163265306121E-2"/>
    <x v="1"/>
  </r>
  <r>
    <n v="133"/>
    <x v="4"/>
    <x v="1"/>
    <x v="4"/>
    <x v="1"/>
    <n v="214"/>
    <n v="250"/>
    <n v="300"/>
    <n v="1284"/>
    <n v="53500"/>
    <x v="7"/>
    <n v="10"/>
    <x v="7"/>
    <x v="7"/>
    <x v="1"/>
    <n v="64200"/>
    <n v="62916"/>
    <n v="9416"/>
    <n v="0.14965986394557823"/>
    <x v="2"/>
  </r>
  <r>
    <n v="134"/>
    <x v="0"/>
    <x v="1"/>
    <x v="4"/>
    <x v="1"/>
    <n v="2877"/>
    <n v="250"/>
    <n v="350"/>
    <n v="20139"/>
    <n v="748020"/>
    <x v="10"/>
    <n v="10"/>
    <x v="7"/>
    <x v="7"/>
    <x v="0"/>
    <n v="1006950"/>
    <n v="986811"/>
    <n v="238791"/>
    <n v="0.24198250728862974"/>
    <x v="0"/>
  </r>
  <r>
    <n v="135"/>
    <x v="3"/>
    <x v="0"/>
    <x v="4"/>
    <x v="1"/>
    <n v="2729"/>
    <n v="250"/>
    <n v="125"/>
    <n v="6822.5"/>
    <n v="327480"/>
    <x v="2"/>
    <n v="12"/>
    <x v="2"/>
    <x v="2"/>
    <x v="0"/>
    <n v="341125"/>
    <n v="334302.5"/>
    <n v="6822.5"/>
    <n v="2.0408163265306121E-2"/>
    <x v="1"/>
  </r>
  <r>
    <n v="136"/>
    <x v="0"/>
    <x v="4"/>
    <x v="4"/>
    <x v="1"/>
    <n v="266"/>
    <n v="250"/>
    <n v="350"/>
    <n v="1862"/>
    <n v="69160"/>
    <x v="12"/>
    <n v="12"/>
    <x v="2"/>
    <x v="2"/>
    <x v="1"/>
    <n v="93100"/>
    <n v="91238"/>
    <n v="22078"/>
    <n v="0.24198250728862974"/>
    <x v="0"/>
  </r>
  <r>
    <n v="137"/>
    <x v="0"/>
    <x v="3"/>
    <x v="4"/>
    <x v="1"/>
    <n v="1940"/>
    <n v="250"/>
    <n v="350"/>
    <n v="13580"/>
    <n v="504400"/>
    <x v="12"/>
    <n v="12"/>
    <x v="2"/>
    <x v="2"/>
    <x v="1"/>
    <n v="679000"/>
    <n v="665420"/>
    <n v="161020"/>
    <n v="0.24198250728862974"/>
    <x v="0"/>
  </r>
  <r>
    <n v="138"/>
    <x v="4"/>
    <x v="1"/>
    <x v="5"/>
    <x v="1"/>
    <n v="259"/>
    <n v="260"/>
    <n v="300"/>
    <n v="1554"/>
    <n v="64750"/>
    <x v="3"/>
    <n v="3"/>
    <x v="3"/>
    <x v="3"/>
    <x v="0"/>
    <n v="77700"/>
    <n v="76146"/>
    <n v="11396"/>
    <n v="0.14965986394557823"/>
    <x v="2"/>
  </r>
  <r>
    <n v="139"/>
    <x v="4"/>
    <x v="3"/>
    <x v="5"/>
    <x v="1"/>
    <n v="1101"/>
    <n v="260"/>
    <n v="300"/>
    <n v="6606"/>
    <n v="275250"/>
    <x v="3"/>
    <n v="3"/>
    <x v="3"/>
    <x v="3"/>
    <x v="0"/>
    <n v="330300"/>
    <n v="323694"/>
    <n v="48444"/>
    <n v="0.14965986394557823"/>
    <x v="2"/>
  </r>
  <r>
    <n v="140"/>
    <x v="3"/>
    <x v="1"/>
    <x v="5"/>
    <x v="1"/>
    <n v="2276"/>
    <n v="260"/>
    <n v="125"/>
    <n v="5690"/>
    <n v="273120"/>
    <x v="14"/>
    <n v="5"/>
    <x v="11"/>
    <x v="11"/>
    <x v="0"/>
    <n v="284500"/>
    <n v="278810"/>
    <n v="5690"/>
    <n v="2.0408163265306121E-2"/>
    <x v="1"/>
  </r>
  <r>
    <n v="141"/>
    <x v="0"/>
    <x v="1"/>
    <x v="5"/>
    <x v="1"/>
    <n v="2966"/>
    <n v="260"/>
    <n v="350"/>
    <n v="20762"/>
    <n v="771160"/>
    <x v="7"/>
    <n v="10"/>
    <x v="7"/>
    <x v="7"/>
    <x v="1"/>
    <n v="1038100"/>
    <n v="1017338"/>
    <n v="246178"/>
    <n v="0.24198250728862974"/>
    <x v="0"/>
  </r>
  <r>
    <n v="142"/>
    <x v="0"/>
    <x v="4"/>
    <x v="5"/>
    <x v="1"/>
    <n v="1236"/>
    <n v="260"/>
    <n v="20"/>
    <n v="494.4"/>
    <n v="12360"/>
    <x v="15"/>
    <n v="11"/>
    <x v="9"/>
    <x v="9"/>
    <x v="0"/>
    <n v="24720"/>
    <n v="24225.599999999999"/>
    <n v="11865.599999999999"/>
    <n v="0.48979591836734693"/>
    <x v="0"/>
  </r>
  <r>
    <n v="143"/>
    <x v="0"/>
    <x v="2"/>
    <x v="5"/>
    <x v="1"/>
    <n v="941"/>
    <n v="260"/>
    <n v="20"/>
    <n v="376.4"/>
    <n v="9410"/>
    <x v="15"/>
    <n v="11"/>
    <x v="9"/>
    <x v="9"/>
    <x v="0"/>
    <n v="18820"/>
    <n v="18443.599999999999"/>
    <n v="9033.5999999999985"/>
    <n v="0.48979591836734687"/>
    <x v="0"/>
  </r>
  <r>
    <n v="144"/>
    <x v="4"/>
    <x v="0"/>
    <x v="5"/>
    <x v="1"/>
    <n v="1916"/>
    <n v="260"/>
    <n v="300"/>
    <n v="11496"/>
    <n v="479000"/>
    <x v="2"/>
    <n v="12"/>
    <x v="2"/>
    <x v="2"/>
    <x v="0"/>
    <n v="574800"/>
    <n v="563304"/>
    <n v="84304"/>
    <n v="0.14965986394557823"/>
    <x v="2"/>
  </r>
  <r>
    <n v="145"/>
    <x v="3"/>
    <x v="2"/>
    <x v="0"/>
    <x v="1"/>
    <n v="4243.5"/>
    <n v="3"/>
    <n v="125"/>
    <n v="15913.125"/>
    <n v="509220"/>
    <x v="13"/>
    <n v="4"/>
    <x v="10"/>
    <x v="10"/>
    <x v="0"/>
    <n v="530437.5"/>
    <n v="514524.375"/>
    <n v="5304.375"/>
    <n v="1.0309278350515464E-2"/>
    <x v="1"/>
  </r>
  <r>
    <n v="146"/>
    <x v="0"/>
    <x v="1"/>
    <x v="0"/>
    <x v="1"/>
    <n v="2580"/>
    <n v="3"/>
    <n v="20"/>
    <n v="1548"/>
    <n v="25800"/>
    <x v="13"/>
    <n v="4"/>
    <x v="10"/>
    <x v="10"/>
    <x v="0"/>
    <n v="51600"/>
    <n v="50052"/>
    <n v="24252"/>
    <n v="0.4845360824742268"/>
    <x v="0"/>
  </r>
  <r>
    <n v="147"/>
    <x v="4"/>
    <x v="1"/>
    <x v="0"/>
    <x v="1"/>
    <n v="689"/>
    <n v="3"/>
    <n v="300"/>
    <n v="6201"/>
    <n v="172250"/>
    <x v="1"/>
    <n v="6"/>
    <x v="1"/>
    <x v="1"/>
    <x v="0"/>
    <n v="206700"/>
    <n v="200499"/>
    <n v="28249"/>
    <n v="0.14089347079037801"/>
    <x v="2"/>
  </r>
  <r>
    <n v="148"/>
    <x v="2"/>
    <x v="4"/>
    <x v="0"/>
    <x v="1"/>
    <n v="1947"/>
    <n v="3"/>
    <n v="12"/>
    <n v="700.92"/>
    <n v="5841"/>
    <x v="6"/>
    <n v="9"/>
    <x v="6"/>
    <x v="6"/>
    <x v="0"/>
    <n v="23364"/>
    <n v="22663.08"/>
    <n v="16822.080000000002"/>
    <n v="0.74226804123711343"/>
    <x v="0"/>
  </r>
  <r>
    <n v="149"/>
    <x v="2"/>
    <x v="0"/>
    <x v="0"/>
    <x v="1"/>
    <n v="908"/>
    <n v="3"/>
    <n v="12"/>
    <n v="326.88"/>
    <n v="2724"/>
    <x v="12"/>
    <n v="12"/>
    <x v="2"/>
    <x v="2"/>
    <x v="1"/>
    <n v="10896"/>
    <n v="10569.12"/>
    <n v="7845.1200000000008"/>
    <n v="0.74226804123711343"/>
    <x v="0"/>
  </r>
  <r>
    <n v="150"/>
    <x v="0"/>
    <x v="1"/>
    <x v="1"/>
    <x v="1"/>
    <n v="1958"/>
    <n v="5"/>
    <n v="7"/>
    <n v="411.18"/>
    <n v="9790"/>
    <x v="8"/>
    <n v="2"/>
    <x v="8"/>
    <x v="8"/>
    <x v="0"/>
    <n v="13706"/>
    <n v="13294.82"/>
    <n v="3504.8199999999997"/>
    <n v="0.26362297496318116"/>
    <x v="0"/>
  </r>
  <r>
    <n v="151"/>
    <x v="2"/>
    <x v="2"/>
    <x v="1"/>
    <x v="1"/>
    <n v="1901"/>
    <n v="5"/>
    <n v="12"/>
    <n v="684.36"/>
    <n v="5703"/>
    <x v="1"/>
    <n v="6"/>
    <x v="1"/>
    <x v="1"/>
    <x v="0"/>
    <n v="22812"/>
    <n v="22127.64"/>
    <n v="16424.64"/>
    <n v="0.74226804123711343"/>
    <x v="0"/>
  </r>
  <r>
    <n v="152"/>
    <x v="0"/>
    <x v="2"/>
    <x v="1"/>
    <x v="1"/>
    <n v="544"/>
    <n v="5"/>
    <n v="7"/>
    <n v="114.24"/>
    <n v="2720"/>
    <x v="6"/>
    <n v="9"/>
    <x v="6"/>
    <x v="6"/>
    <x v="0"/>
    <n v="3808"/>
    <n v="3693.76"/>
    <n v="973.76000000000022"/>
    <n v="0.26362297496318121"/>
    <x v="0"/>
  </r>
  <r>
    <n v="153"/>
    <x v="0"/>
    <x v="1"/>
    <x v="1"/>
    <x v="1"/>
    <n v="1797"/>
    <n v="5"/>
    <n v="350"/>
    <n v="18868.5"/>
    <n v="467220"/>
    <x v="9"/>
    <n v="9"/>
    <x v="6"/>
    <x v="6"/>
    <x v="1"/>
    <n v="628950"/>
    <n v="610081.5"/>
    <n v="142861.5"/>
    <n v="0.2341678939617084"/>
    <x v="0"/>
  </r>
  <r>
    <n v="154"/>
    <x v="3"/>
    <x v="2"/>
    <x v="1"/>
    <x v="1"/>
    <n v="1287"/>
    <n v="5"/>
    <n v="125"/>
    <n v="4826.25"/>
    <n v="154440"/>
    <x v="2"/>
    <n v="12"/>
    <x v="2"/>
    <x v="2"/>
    <x v="0"/>
    <n v="160875"/>
    <n v="156048.75"/>
    <n v="1608.75"/>
    <n v="1.0309278350515464E-2"/>
    <x v="1"/>
  </r>
  <r>
    <n v="155"/>
    <x v="3"/>
    <x v="1"/>
    <x v="1"/>
    <x v="1"/>
    <n v="1706"/>
    <n v="5"/>
    <n v="125"/>
    <n v="6397.5"/>
    <n v="204720"/>
    <x v="2"/>
    <n v="12"/>
    <x v="2"/>
    <x v="2"/>
    <x v="0"/>
    <n v="213250"/>
    <n v="206852.5"/>
    <n v="2132.5"/>
    <n v="1.0309278350515464E-2"/>
    <x v="1"/>
  </r>
  <r>
    <n v="156"/>
    <x v="4"/>
    <x v="2"/>
    <x v="2"/>
    <x v="1"/>
    <n v="2434.5"/>
    <n v="10"/>
    <n v="300"/>
    <n v="21910.5"/>
    <n v="608625"/>
    <x v="0"/>
    <n v="1"/>
    <x v="0"/>
    <x v="0"/>
    <x v="0"/>
    <n v="730350"/>
    <n v="708439.5"/>
    <n v="99814.5"/>
    <n v="0.14089347079037801"/>
    <x v="2"/>
  </r>
  <r>
    <n v="157"/>
    <x v="3"/>
    <x v="0"/>
    <x v="2"/>
    <x v="1"/>
    <n v="1774"/>
    <n v="10"/>
    <n v="125"/>
    <n v="6652.5"/>
    <n v="212880"/>
    <x v="3"/>
    <n v="3"/>
    <x v="3"/>
    <x v="3"/>
    <x v="0"/>
    <n v="221750"/>
    <n v="215097.5"/>
    <n v="2217.5"/>
    <n v="1.0309278350515464E-2"/>
    <x v="1"/>
  </r>
  <r>
    <n v="158"/>
    <x v="2"/>
    <x v="2"/>
    <x v="2"/>
    <x v="1"/>
    <n v="1901"/>
    <n v="10"/>
    <n v="12"/>
    <n v="684.36"/>
    <n v="5703"/>
    <x v="1"/>
    <n v="6"/>
    <x v="1"/>
    <x v="1"/>
    <x v="0"/>
    <n v="22812"/>
    <n v="22127.64"/>
    <n v="16424.64"/>
    <n v="0.74226804123711343"/>
    <x v="0"/>
  </r>
  <r>
    <n v="159"/>
    <x v="4"/>
    <x v="1"/>
    <x v="2"/>
    <x v="1"/>
    <n v="689"/>
    <n v="10"/>
    <n v="300"/>
    <n v="6201"/>
    <n v="172250"/>
    <x v="1"/>
    <n v="6"/>
    <x v="1"/>
    <x v="1"/>
    <x v="0"/>
    <n v="206700"/>
    <n v="200499"/>
    <n v="28249"/>
    <n v="0.14089347079037801"/>
    <x v="2"/>
  </r>
  <r>
    <n v="160"/>
    <x v="3"/>
    <x v="1"/>
    <x v="2"/>
    <x v="1"/>
    <n v="1570"/>
    <n v="10"/>
    <n v="125"/>
    <n v="5887.5"/>
    <n v="188400"/>
    <x v="1"/>
    <n v="6"/>
    <x v="1"/>
    <x v="1"/>
    <x v="0"/>
    <n v="196250"/>
    <n v="190362.5"/>
    <n v="1962.5"/>
    <n v="1.0309278350515464E-2"/>
    <x v="1"/>
  </r>
  <r>
    <n v="161"/>
    <x v="2"/>
    <x v="4"/>
    <x v="2"/>
    <x v="1"/>
    <n v="1369.5"/>
    <n v="10"/>
    <n v="12"/>
    <n v="493.02"/>
    <n v="4108.5"/>
    <x v="4"/>
    <n v="7"/>
    <x v="4"/>
    <x v="4"/>
    <x v="0"/>
    <n v="16434"/>
    <n v="15940.98"/>
    <n v="11832.48"/>
    <n v="0.74226804123711343"/>
    <x v="0"/>
  </r>
  <r>
    <n v="162"/>
    <x v="3"/>
    <x v="0"/>
    <x v="2"/>
    <x v="1"/>
    <n v="2009"/>
    <n v="10"/>
    <n v="125"/>
    <n v="7533.75"/>
    <n v="241080"/>
    <x v="10"/>
    <n v="10"/>
    <x v="7"/>
    <x v="7"/>
    <x v="0"/>
    <n v="251125"/>
    <n v="243591.25"/>
    <n v="2511.25"/>
    <n v="1.0309278350515464E-2"/>
    <x v="1"/>
  </r>
  <r>
    <n v="163"/>
    <x v="1"/>
    <x v="1"/>
    <x v="2"/>
    <x v="1"/>
    <n v="1945"/>
    <n v="10"/>
    <n v="15"/>
    <n v="875.25"/>
    <n v="19450"/>
    <x v="7"/>
    <n v="10"/>
    <x v="7"/>
    <x v="7"/>
    <x v="1"/>
    <n v="29175"/>
    <n v="28299.75"/>
    <n v="8849.75"/>
    <n v="0.3127147766323024"/>
    <x v="0"/>
  </r>
  <r>
    <n v="164"/>
    <x v="3"/>
    <x v="2"/>
    <x v="2"/>
    <x v="1"/>
    <n v="1287"/>
    <n v="10"/>
    <n v="125"/>
    <n v="4826.25"/>
    <n v="154440"/>
    <x v="2"/>
    <n v="12"/>
    <x v="2"/>
    <x v="2"/>
    <x v="0"/>
    <n v="160875"/>
    <n v="156048.75"/>
    <n v="1608.75"/>
    <n v="1.0309278350515464E-2"/>
    <x v="1"/>
  </r>
  <r>
    <n v="165"/>
    <x v="3"/>
    <x v="1"/>
    <x v="2"/>
    <x v="1"/>
    <n v="1706"/>
    <n v="10"/>
    <n v="125"/>
    <n v="6397.5"/>
    <n v="204720"/>
    <x v="2"/>
    <n v="12"/>
    <x v="2"/>
    <x v="2"/>
    <x v="0"/>
    <n v="213250"/>
    <n v="206852.5"/>
    <n v="2132.5"/>
    <n v="1.0309278350515464E-2"/>
    <x v="1"/>
  </r>
  <r>
    <n v="166"/>
    <x v="3"/>
    <x v="0"/>
    <x v="3"/>
    <x v="1"/>
    <n v="2009"/>
    <n v="120"/>
    <n v="125"/>
    <n v="7533.75"/>
    <n v="241080"/>
    <x v="10"/>
    <n v="10"/>
    <x v="7"/>
    <x v="7"/>
    <x v="0"/>
    <n v="251125"/>
    <n v="243591.25"/>
    <n v="2511.25"/>
    <n v="1.0309278350515464E-2"/>
    <x v="1"/>
  </r>
  <r>
    <n v="167"/>
    <x v="4"/>
    <x v="4"/>
    <x v="4"/>
    <x v="1"/>
    <n v="2844"/>
    <n v="250"/>
    <n v="300"/>
    <n v="25596"/>
    <n v="711000"/>
    <x v="8"/>
    <n v="2"/>
    <x v="8"/>
    <x v="8"/>
    <x v="0"/>
    <n v="853200"/>
    <n v="827604"/>
    <n v="116604"/>
    <n v="0.14089347079037801"/>
    <x v="2"/>
  </r>
  <r>
    <n v="168"/>
    <x v="2"/>
    <x v="3"/>
    <x v="4"/>
    <x v="1"/>
    <n v="1916"/>
    <n v="250"/>
    <n v="12"/>
    <n v="689.76"/>
    <n v="5748"/>
    <x v="13"/>
    <n v="4"/>
    <x v="10"/>
    <x v="10"/>
    <x v="0"/>
    <n v="22992"/>
    <n v="22302.240000000002"/>
    <n v="16554.240000000002"/>
    <n v="0.74226804123711343"/>
    <x v="0"/>
  </r>
  <r>
    <n v="169"/>
    <x v="3"/>
    <x v="1"/>
    <x v="4"/>
    <x v="1"/>
    <n v="1570"/>
    <n v="250"/>
    <n v="125"/>
    <n v="5887.5"/>
    <n v="188400"/>
    <x v="1"/>
    <n v="6"/>
    <x v="1"/>
    <x v="1"/>
    <x v="0"/>
    <n v="196250"/>
    <n v="190362.5"/>
    <n v="1962.5"/>
    <n v="1.0309278350515464E-2"/>
    <x v="1"/>
  </r>
  <r>
    <n v="170"/>
    <x v="4"/>
    <x v="0"/>
    <x v="4"/>
    <x v="1"/>
    <n v="1874"/>
    <n v="250"/>
    <n v="300"/>
    <n v="16866"/>
    <n v="468500"/>
    <x v="5"/>
    <n v="8"/>
    <x v="5"/>
    <x v="5"/>
    <x v="0"/>
    <n v="562200"/>
    <n v="545334"/>
    <n v="76834"/>
    <n v="0.14089347079037801"/>
    <x v="2"/>
  </r>
  <r>
    <n v="171"/>
    <x v="0"/>
    <x v="3"/>
    <x v="4"/>
    <x v="1"/>
    <n v="1642"/>
    <n v="250"/>
    <n v="350"/>
    <n v="17241"/>
    <n v="426920"/>
    <x v="5"/>
    <n v="8"/>
    <x v="5"/>
    <x v="5"/>
    <x v="0"/>
    <n v="574700"/>
    <n v="557459"/>
    <n v="130539"/>
    <n v="0.2341678939617084"/>
    <x v="0"/>
  </r>
  <r>
    <n v="172"/>
    <x v="1"/>
    <x v="1"/>
    <x v="4"/>
    <x v="1"/>
    <n v="1945"/>
    <n v="250"/>
    <n v="15"/>
    <n v="875.25"/>
    <n v="19450"/>
    <x v="7"/>
    <n v="10"/>
    <x v="7"/>
    <x v="7"/>
    <x v="1"/>
    <n v="29175"/>
    <n v="28299.75"/>
    <n v="8849.75"/>
    <n v="0.3127147766323024"/>
    <x v="0"/>
  </r>
  <r>
    <n v="173"/>
    <x v="0"/>
    <x v="0"/>
    <x v="0"/>
    <x v="1"/>
    <n v="831"/>
    <n v="3"/>
    <n v="20"/>
    <n v="498.6"/>
    <n v="8310"/>
    <x v="14"/>
    <n v="5"/>
    <x v="11"/>
    <x v="11"/>
    <x v="0"/>
    <n v="16620"/>
    <n v="16121.4"/>
    <n v="7811.4"/>
    <n v="0.4845360824742268"/>
    <x v="0"/>
  </r>
  <r>
    <n v="174"/>
    <x v="0"/>
    <x v="3"/>
    <x v="2"/>
    <x v="1"/>
    <n v="1760"/>
    <n v="10"/>
    <n v="7"/>
    <n v="369.6"/>
    <n v="8800"/>
    <x v="9"/>
    <n v="9"/>
    <x v="6"/>
    <x v="6"/>
    <x v="1"/>
    <n v="12320"/>
    <n v="11950.4"/>
    <n v="3150.3999999999996"/>
    <n v="0.2636229749631811"/>
    <x v="0"/>
  </r>
  <r>
    <n v="175"/>
    <x v="0"/>
    <x v="0"/>
    <x v="3"/>
    <x v="1"/>
    <n v="3850.5"/>
    <n v="120"/>
    <n v="20"/>
    <n v="2310.3000000000002"/>
    <n v="38505"/>
    <x v="13"/>
    <n v="4"/>
    <x v="10"/>
    <x v="10"/>
    <x v="0"/>
    <n v="77010"/>
    <n v="74699.7"/>
    <n v="36194.699999999997"/>
    <n v="0.4845360824742268"/>
    <x v="0"/>
  </r>
  <r>
    <n v="176"/>
    <x v="2"/>
    <x v="1"/>
    <x v="4"/>
    <x v="1"/>
    <n v="2479"/>
    <n v="250"/>
    <n v="12"/>
    <n v="892.44"/>
    <n v="7437"/>
    <x v="0"/>
    <n v="1"/>
    <x v="0"/>
    <x v="0"/>
    <x v="0"/>
    <n v="29748"/>
    <n v="28855.56"/>
    <n v="21418.560000000001"/>
    <n v="0.74226804123711343"/>
    <x v="0"/>
  </r>
  <r>
    <n v="177"/>
    <x v="1"/>
    <x v="3"/>
    <x v="1"/>
    <x v="1"/>
    <n v="2031"/>
    <n v="5"/>
    <n v="15"/>
    <n v="1218.5999999999999"/>
    <n v="20310"/>
    <x v="10"/>
    <n v="10"/>
    <x v="7"/>
    <x v="7"/>
    <x v="0"/>
    <n v="30465"/>
    <n v="29246.400000000001"/>
    <n v="8936.4000000000015"/>
    <n v="0.30555555555555558"/>
    <x v="0"/>
  </r>
  <r>
    <n v="178"/>
    <x v="1"/>
    <x v="3"/>
    <x v="2"/>
    <x v="1"/>
    <n v="2031"/>
    <n v="10"/>
    <n v="15"/>
    <n v="1218.5999999999999"/>
    <n v="20310"/>
    <x v="10"/>
    <n v="10"/>
    <x v="7"/>
    <x v="7"/>
    <x v="0"/>
    <n v="30465"/>
    <n v="29246.400000000001"/>
    <n v="8936.4000000000015"/>
    <n v="0.30555555555555558"/>
    <x v="0"/>
  </r>
  <r>
    <n v="179"/>
    <x v="1"/>
    <x v="2"/>
    <x v="2"/>
    <x v="1"/>
    <n v="2261"/>
    <n v="10"/>
    <n v="15"/>
    <n v="1356.6"/>
    <n v="22610"/>
    <x v="12"/>
    <n v="12"/>
    <x v="2"/>
    <x v="2"/>
    <x v="1"/>
    <n v="33915"/>
    <n v="32558.400000000001"/>
    <n v="9948.4000000000015"/>
    <n v="0.30555555555555558"/>
    <x v="0"/>
  </r>
  <r>
    <n v="180"/>
    <x v="0"/>
    <x v="4"/>
    <x v="3"/>
    <x v="1"/>
    <n v="736"/>
    <n v="120"/>
    <n v="20"/>
    <n v="588.79999999999995"/>
    <n v="7360"/>
    <x v="9"/>
    <n v="9"/>
    <x v="6"/>
    <x v="6"/>
    <x v="1"/>
    <n v="14720"/>
    <n v="14131.2"/>
    <n v="6771.2000000000007"/>
    <n v="0.47916666666666669"/>
    <x v="0"/>
  </r>
  <r>
    <n v="181"/>
    <x v="0"/>
    <x v="0"/>
    <x v="0"/>
    <x v="1"/>
    <n v="2851"/>
    <n v="3"/>
    <n v="7"/>
    <n v="798.28"/>
    <n v="14255"/>
    <x v="7"/>
    <n v="10"/>
    <x v="7"/>
    <x v="7"/>
    <x v="1"/>
    <n v="19957"/>
    <n v="19158.72"/>
    <n v="4903.7200000000012"/>
    <n v="0.25595238095238099"/>
    <x v="0"/>
  </r>
  <r>
    <n v="182"/>
    <x v="4"/>
    <x v="1"/>
    <x v="0"/>
    <x v="1"/>
    <n v="2021"/>
    <n v="3"/>
    <n v="300"/>
    <n v="24252"/>
    <n v="505250"/>
    <x v="10"/>
    <n v="10"/>
    <x v="7"/>
    <x v="7"/>
    <x v="0"/>
    <n v="606300"/>
    <n v="582048"/>
    <n v="76798"/>
    <n v="0.13194444444444445"/>
    <x v="2"/>
  </r>
  <r>
    <n v="183"/>
    <x v="0"/>
    <x v="4"/>
    <x v="0"/>
    <x v="1"/>
    <n v="274"/>
    <n v="3"/>
    <n v="350"/>
    <n v="3836"/>
    <n v="71240"/>
    <x v="2"/>
    <n v="12"/>
    <x v="2"/>
    <x v="2"/>
    <x v="0"/>
    <n v="95900"/>
    <n v="92064"/>
    <n v="20824"/>
    <n v="0.22619047619047619"/>
    <x v="0"/>
  </r>
  <r>
    <n v="184"/>
    <x v="1"/>
    <x v="0"/>
    <x v="1"/>
    <x v="1"/>
    <n v="1967"/>
    <n v="5"/>
    <n v="15"/>
    <n v="1180.2"/>
    <n v="19670"/>
    <x v="3"/>
    <n v="3"/>
    <x v="3"/>
    <x v="3"/>
    <x v="0"/>
    <n v="29505"/>
    <n v="28324.799999999999"/>
    <n v="8654.7999999999993"/>
    <n v="0.30555555555555552"/>
    <x v="0"/>
  </r>
  <r>
    <n v="185"/>
    <x v="4"/>
    <x v="1"/>
    <x v="1"/>
    <x v="1"/>
    <n v="1859"/>
    <n v="5"/>
    <n v="300"/>
    <n v="22308"/>
    <n v="464750"/>
    <x v="5"/>
    <n v="8"/>
    <x v="5"/>
    <x v="5"/>
    <x v="0"/>
    <n v="557700"/>
    <n v="535392"/>
    <n v="70642"/>
    <n v="0.13194444444444445"/>
    <x v="2"/>
  </r>
  <r>
    <n v="186"/>
    <x v="0"/>
    <x v="0"/>
    <x v="1"/>
    <x v="1"/>
    <n v="2851"/>
    <n v="5"/>
    <n v="7"/>
    <n v="798.28"/>
    <n v="14255"/>
    <x v="7"/>
    <n v="10"/>
    <x v="7"/>
    <x v="7"/>
    <x v="1"/>
    <n v="19957"/>
    <n v="19158.72"/>
    <n v="4903.7200000000012"/>
    <n v="0.25595238095238099"/>
    <x v="0"/>
  </r>
  <r>
    <n v="187"/>
    <x v="4"/>
    <x v="1"/>
    <x v="1"/>
    <x v="1"/>
    <n v="2021"/>
    <n v="5"/>
    <n v="300"/>
    <n v="24252"/>
    <n v="505250"/>
    <x v="10"/>
    <n v="10"/>
    <x v="7"/>
    <x v="7"/>
    <x v="0"/>
    <n v="606300"/>
    <n v="582048"/>
    <n v="76798"/>
    <n v="0.13194444444444445"/>
    <x v="2"/>
  </r>
  <r>
    <n v="188"/>
    <x v="3"/>
    <x v="3"/>
    <x v="1"/>
    <x v="1"/>
    <n v="1138"/>
    <n v="5"/>
    <n v="125"/>
    <n v="5690"/>
    <n v="136560"/>
    <x v="2"/>
    <n v="12"/>
    <x v="2"/>
    <x v="2"/>
    <x v="0"/>
    <n v="142250"/>
    <n v="136560"/>
    <n v="0"/>
    <n v="0"/>
    <x v="1"/>
  </r>
  <r>
    <n v="189"/>
    <x v="0"/>
    <x v="0"/>
    <x v="2"/>
    <x v="1"/>
    <n v="4251"/>
    <n v="10"/>
    <n v="7"/>
    <n v="1190.28"/>
    <n v="21255"/>
    <x v="0"/>
    <n v="1"/>
    <x v="0"/>
    <x v="0"/>
    <x v="0"/>
    <n v="29757"/>
    <n v="28566.720000000001"/>
    <n v="7311.7200000000012"/>
    <n v="0.25595238095238099"/>
    <x v="0"/>
  </r>
  <r>
    <n v="190"/>
    <x v="3"/>
    <x v="1"/>
    <x v="2"/>
    <x v="1"/>
    <n v="795"/>
    <n v="10"/>
    <n v="125"/>
    <n v="3975"/>
    <n v="95400"/>
    <x v="3"/>
    <n v="3"/>
    <x v="3"/>
    <x v="3"/>
    <x v="0"/>
    <n v="99375"/>
    <n v="95400"/>
    <n v="0"/>
    <n v="0"/>
    <x v="1"/>
  </r>
  <r>
    <n v="191"/>
    <x v="4"/>
    <x v="1"/>
    <x v="2"/>
    <x v="1"/>
    <n v="1414.5"/>
    <n v="10"/>
    <n v="300"/>
    <n v="16974"/>
    <n v="353625"/>
    <x v="13"/>
    <n v="4"/>
    <x v="10"/>
    <x v="10"/>
    <x v="0"/>
    <n v="424350"/>
    <n v="407376"/>
    <n v="53751"/>
    <n v="0.13194444444444445"/>
    <x v="2"/>
  </r>
  <r>
    <n v="192"/>
    <x v="4"/>
    <x v="4"/>
    <x v="2"/>
    <x v="1"/>
    <n v="2918"/>
    <n v="10"/>
    <n v="300"/>
    <n v="35016"/>
    <n v="729500"/>
    <x v="14"/>
    <n v="5"/>
    <x v="11"/>
    <x v="11"/>
    <x v="0"/>
    <n v="875400"/>
    <n v="840384"/>
    <n v="110884"/>
    <n v="0.13194444444444445"/>
    <x v="2"/>
  </r>
  <r>
    <n v="193"/>
    <x v="0"/>
    <x v="4"/>
    <x v="2"/>
    <x v="1"/>
    <n v="3450"/>
    <n v="10"/>
    <n v="350"/>
    <n v="48300"/>
    <n v="897000"/>
    <x v="4"/>
    <n v="7"/>
    <x v="4"/>
    <x v="4"/>
    <x v="0"/>
    <n v="1207500"/>
    <n v="1159200"/>
    <n v="262200"/>
    <n v="0.22619047619047619"/>
    <x v="0"/>
  </r>
  <r>
    <n v="194"/>
    <x v="3"/>
    <x v="2"/>
    <x v="2"/>
    <x v="1"/>
    <n v="2988"/>
    <n v="10"/>
    <n v="125"/>
    <n v="14940"/>
    <n v="358560"/>
    <x v="4"/>
    <n v="7"/>
    <x v="4"/>
    <x v="4"/>
    <x v="0"/>
    <n v="373500"/>
    <n v="358560"/>
    <n v="0"/>
    <n v="0"/>
    <x v="1"/>
  </r>
  <r>
    <n v="195"/>
    <x v="1"/>
    <x v="0"/>
    <x v="2"/>
    <x v="1"/>
    <n v="218"/>
    <n v="10"/>
    <n v="15"/>
    <n v="130.80000000000001"/>
    <n v="2180"/>
    <x v="6"/>
    <n v="9"/>
    <x v="6"/>
    <x v="6"/>
    <x v="0"/>
    <n v="3270"/>
    <n v="3139.2"/>
    <n v="959.19999999999982"/>
    <n v="0.30555555555555552"/>
    <x v="0"/>
  </r>
  <r>
    <n v="196"/>
    <x v="0"/>
    <x v="0"/>
    <x v="2"/>
    <x v="1"/>
    <n v="2074"/>
    <n v="10"/>
    <n v="20"/>
    <n v="1659.2"/>
    <n v="20740"/>
    <x v="6"/>
    <n v="9"/>
    <x v="6"/>
    <x v="6"/>
    <x v="0"/>
    <n v="41480"/>
    <n v="39820.800000000003"/>
    <n v="19080.800000000003"/>
    <n v="0.47916666666666669"/>
    <x v="0"/>
  </r>
  <r>
    <n v="197"/>
    <x v="0"/>
    <x v="4"/>
    <x v="2"/>
    <x v="1"/>
    <n v="1056"/>
    <n v="10"/>
    <n v="20"/>
    <n v="844.8"/>
    <n v="10560"/>
    <x v="6"/>
    <n v="9"/>
    <x v="6"/>
    <x v="6"/>
    <x v="0"/>
    <n v="21120"/>
    <n v="20275.2"/>
    <n v="9715.2000000000007"/>
    <n v="0.47916666666666669"/>
    <x v="0"/>
  </r>
  <r>
    <n v="198"/>
    <x v="1"/>
    <x v="4"/>
    <x v="2"/>
    <x v="1"/>
    <n v="671"/>
    <n v="10"/>
    <n v="15"/>
    <n v="402.6"/>
    <n v="6710"/>
    <x v="7"/>
    <n v="10"/>
    <x v="7"/>
    <x v="7"/>
    <x v="1"/>
    <n v="10065"/>
    <n v="9662.4"/>
    <n v="2952.3999999999996"/>
    <n v="0.30555555555555552"/>
    <x v="0"/>
  </r>
  <r>
    <n v="199"/>
    <x v="1"/>
    <x v="3"/>
    <x v="2"/>
    <x v="1"/>
    <n v="1514"/>
    <n v="10"/>
    <n v="15"/>
    <n v="908.4"/>
    <n v="15140"/>
    <x v="7"/>
    <n v="10"/>
    <x v="7"/>
    <x v="7"/>
    <x v="1"/>
    <n v="22710"/>
    <n v="21801.599999999999"/>
    <n v="6661.5999999999985"/>
    <n v="0.30555555555555552"/>
    <x v="0"/>
  </r>
  <r>
    <n v="200"/>
    <x v="0"/>
    <x v="4"/>
    <x v="2"/>
    <x v="1"/>
    <n v="274"/>
    <n v="10"/>
    <n v="350"/>
    <n v="3836"/>
    <n v="71240"/>
    <x v="2"/>
    <n v="12"/>
    <x v="2"/>
    <x v="2"/>
    <x v="0"/>
    <n v="95900"/>
    <n v="92064"/>
    <n v="20824"/>
    <n v="0.22619047619047619"/>
    <x v="0"/>
  </r>
  <r>
    <n v="201"/>
    <x v="3"/>
    <x v="3"/>
    <x v="2"/>
    <x v="1"/>
    <n v="1138"/>
    <n v="10"/>
    <n v="125"/>
    <n v="5690"/>
    <n v="136560"/>
    <x v="2"/>
    <n v="12"/>
    <x v="2"/>
    <x v="2"/>
    <x v="0"/>
    <n v="142250"/>
    <n v="136560"/>
    <n v="0"/>
    <n v="0"/>
    <x v="1"/>
  </r>
  <r>
    <n v="202"/>
    <x v="2"/>
    <x v="4"/>
    <x v="3"/>
    <x v="1"/>
    <n v="1465"/>
    <n v="120"/>
    <n v="12"/>
    <n v="703.2"/>
    <n v="4395"/>
    <x v="3"/>
    <n v="3"/>
    <x v="3"/>
    <x v="3"/>
    <x v="0"/>
    <n v="17580"/>
    <n v="16876.8"/>
    <n v="12481.8"/>
    <n v="0.73958333333333337"/>
    <x v="0"/>
  </r>
  <r>
    <n v="203"/>
    <x v="0"/>
    <x v="0"/>
    <x v="3"/>
    <x v="1"/>
    <n v="2646"/>
    <n v="120"/>
    <n v="20"/>
    <n v="2116.8000000000002"/>
    <n v="26460"/>
    <x v="9"/>
    <n v="9"/>
    <x v="6"/>
    <x v="6"/>
    <x v="1"/>
    <n v="52920"/>
    <n v="50803.199999999997"/>
    <n v="24343.199999999997"/>
    <n v="0.47916666666666663"/>
    <x v="0"/>
  </r>
  <r>
    <n v="204"/>
    <x v="0"/>
    <x v="2"/>
    <x v="3"/>
    <x v="1"/>
    <n v="2177"/>
    <n v="120"/>
    <n v="350"/>
    <n v="30478"/>
    <n v="566020"/>
    <x v="10"/>
    <n v="10"/>
    <x v="7"/>
    <x v="7"/>
    <x v="0"/>
    <n v="761950"/>
    <n v="731472"/>
    <n v="165452"/>
    <n v="0.22619047619047619"/>
    <x v="0"/>
  </r>
  <r>
    <n v="205"/>
    <x v="2"/>
    <x v="2"/>
    <x v="4"/>
    <x v="1"/>
    <n v="866"/>
    <n v="250"/>
    <n v="12"/>
    <n v="415.68"/>
    <n v="2598"/>
    <x v="14"/>
    <n v="5"/>
    <x v="11"/>
    <x v="11"/>
    <x v="0"/>
    <n v="10392"/>
    <n v="9976.32"/>
    <n v="7378.32"/>
    <n v="0.73958333333333337"/>
    <x v="0"/>
  </r>
  <r>
    <n v="206"/>
    <x v="0"/>
    <x v="4"/>
    <x v="4"/>
    <x v="1"/>
    <n v="349"/>
    <n v="250"/>
    <n v="350"/>
    <n v="4886"/>
    <n v="90740"/>
    <x v="9"/>
    <n v="9"/>
    <x v="6"/>
    <x v="6"/>
    <x v="1"/>
    <n v="122150"/>
    <n v="117264"/>
    <n v="26524"/>
    <n v="0.22619047619047619"/>
    <x v="0"/>
  </r>
  <r>
    <n v="207"/>
    <x v="0"/>
    <x v="2"/>
    <x v="4"/>
    <x v="1"/>
    <n v="2177"/>
    <n v="250"/>
    <n v="350"/>
    <n v="30478"/>
    <n v="566020"/>
    <x v="10"/>
    <n v="10"/>
    <x v="7"/>
    <x v="7"/>
    <x v="0"/>
    <n v="761950"/>
    <n v="731472"/>
    <n v="165452"/>
    <n v="0.22619047619047619"/>
    <x v="0"/>
  </r>
  <r>
    <n v="208"/>
    <x v="1"/>
    <x v="3"/>
    <x v="4"/>
    <x v="1"/>
    <n v="1514"/>
    <n v="250"/>
    <n v="15"/>
    <n v="908.4"/>
    <n v="15140"/>
    <x v="7"/>
    <n v="10"/>
    <x v="7"/>
    <x v="7"/>
    <x v="1"/>
    <n v="22710"/>
    <n v="21801.599999999999"/>
    <n v="6661.5999999999985"/>
    <n v="0.30555555555555552"/>
    <x v="0"/>
  </r>
  <r>
    <n v="209"/>
    <x v="0"/>
    <x v="3"/>
    <x v="5"/>
    <x v="1"/>
    <n v="1865"/>
    <n v="260"/>
    <n v="350"/>
    <n v="26110"/>
    <n v="484900"/>
    <x v="8"/>
    <n v="2"/>
    <x v="8"/>
    <x v="8"/>
    <x v="0"/>
    <n v="652750"/>
    <n v="626640"/>
    <n v="141740"/>
    <n v="0.22619047619047619"/>
    <x v="0"/>
  </r>
  <r>
    <n v="210"/>
    <x v="3"/>
    <x v="3"/>
    <x v="5"/>
    <x v="1"/>
    <n v="1074"/>
    <n v="260"/>
    <n v="125"/>
    <n v="5370"/>
    <n v="128880"/>
    <x v="13"/>
    <n v="4"/>
    <x v="10"/>
    <x v="10"/>
    <x v="0"/>
    <n v="134250"/>
    <n v="128880"/>
    <n v="0"/>
    <n v="0"/>
    <x v="1"/>
  </r>
  <r>
    <n v="211"/>
    <x v="0"/>
    <x v="1"/>
    <x v="5"/>
    <x v="1"/>
    <n v="1907"/>
    <n v="260"/>
    <n v="350"/>
    <n v="26698"/>
    <n v="495820"/>
    <x v="6"/>
    <n v="9"/>
    <x v="6"/>
    <x v="6"/>
    <x v="0"/>
    <n v="667450"/>
    <n v="640752"/>
    <n v="144932"/>
    <n v="0.22619047619047619"/>
    <x v="0"/>
  </r>
  <r>
    <n v="212"/>
    <x v="1"/>
    <x v="4"/>
    <x v="5"/>
    <x v="1"/>
    <n v="671"/>
    <n v="260"/>
    <n v="15"/>
    <n v="402.6"/>
    <n v="6710"/>
    <x v="7"/>
    <n v="10"/>
    <x v="7"/>
    <x v="7"/>
    <x v="1"/>
    <n v="10065"/>
    <n v="9662.4"/>
    <n v="2952.3999999999996"/>
    <n v="0.30555555555555552"/>
    <x v="0"/>
  </r>
  <r>
    <n v="213"/>
    <x v="0"/>
    <x v="0"/>
    <x v="5"/>
    <x v="1"/>
    <n v="1778"/>
    <n v="260"/>
    <n v="350"/>
    <n v="24892"/>
    <n v="462280"/>
    <x v="12"/>
    <n v="12"/>
    <x v="2"/>
    <x v="2"/>
    <x v="1"/>
    <n v="622300"/>
    <n v="597408"/>
    <n v="135128"/>
    <n v="0.22619047619047619"/>
    <x v="0"/>
  </r>
  <r>
    <n v="214"/>
    <x v="0"/>
    <x v="1"/>
    <x v="1"/>
    <x v="2"/>
    <n v="1159"/>
    <n v="5"/>
    <n v="7"/>
    <n v="405.65"/>
    <n v="5795"/>
    <x v="7"/>
    <n v="10"/>
    <x v="7"/>
    <x v="7"/>
    <x v="1"/>
    <n v="8113"/>
    <n v="7707.35"/>
    <n v="1912.3500000000004"/>
    <n v="0.24812030075187974"/>
    <x v="0"/>
  </r>
  <r>
    <n v="215"/>
    <x v="0"/>
    <x v="1"/>
    <x v="2"/>
    <x v="2"/>
    <n v="1372"/>
    <n v="10"/>
    <n v="7"/>
    <n v="480.2"/>
    <n v="6860"/>
    <x v="0"/>
    <n v="1"/>
    <x v="0"/>
    <x v="0"/>
    <x v="0"/>
    <n v="9604"/>
    <n v="9123.7999999999993"/>
    <n v="2263.7999999999993"/>
    <n v="0.24812030075187963"/>
    <x v="0"/>
  </r>
  <r>
    <n v="216"/>
    <x v="0"/>
    <x v="0"/>
    <x v="2"/>
    <x v="2"/>
    <n v="2349"/>
    <n v="10"/>
    <n v="7"/>
    <n v="822.15"/>
    <n v="11745"/>
    <x v="9"/>
    <n v="9"/>
    <x v="6"/>
    <x v="6"/>
    <x v="1"/>
    <n v="16443"/>
    <n v="15620.85"/>
    <n v="3875.8500000000004"/>
    <n v="0.24812030075187971"/>
    <x v="0"/>
  </r>
  <r>
    <n v="217"/>
    <x v="0"/>
    <x v="3"/>
    <x v="2"/>
    <x v="2"/>
    <n v="2689"/>
    <n v="10"/>
    <n v="7"/>
    <n v="941.15"/>
    <n v="13445"/>
    <x v="10"/>
    <n v="10"/>
    <x v="7"/>
    <x v="7"/>
    <x v="0"/>
    <n v="18823"/>
    <n v="17881.849999999999"/>
    <n v="4436.8499999999985"/>
    <n v="0.24812030075187963"/>
    <x v="0"/>
  </r>
  <r>
    <n v="218"/>
    <x v="2"/>
    <x v="0"/>
    <x v="2"/>
    <x v="2"/>
    <n v="2431"/>
    <n v="10"/>
    <n v="12"/>
    <n v="1458.6"/>
    <n v="7293"/>
    <x v="2"/>
    <n v="12"/>
    <x v="2"/>
    <x v="2"/>
    <x v="0"/>
    <n v="29172"/>
    <n v="27713.4"/>
    <n v="20420.400000000001"/>
    <n v="0.73684210526315785"/>
    <x v="0"/>
  </r>
  <r>
    <n v="219"/>
    <x v="2"/>
    <x v="0"/>
    <x v="3"/>
    <x v="2"/>
    <n v="2431"/>
    <n v="120"/>
    <n v="12"/>
    <n v="1458.6"/>
    <n v="7293"/>
    <x v="2"/>
    <n v="12"/>
    <x v="2"/>
    <x v="2"/>
    <x v="0"/>
    <n v="29172"/>
    <n v="27713.4"/>
    <n v="20420.400000000001"/>
    <n v="0.73684210526315785"/>
    <x v="0"/>
  </r>
  <r>
    <n v="220"/>
    <x v="0"/>
    <x v="3"/>
    <x v="4"/>
    <x v="2"/>
    <n v="2689"/>
    <n v="250"/>
    <n v="7"/>
    <n v="941.15"/>
    <n v="13445"/>
    <x v="10"/>
    <n v="10"/>
    <x v="7"/>
    <x v="7"/>
    <x v="0"/>
    <n v="18823"/>
    <n v="17881.849999999999"/>
    <n v="4436.8499999999985"/>
    <n v="0.24812030075187963"/>
    <x v="0"/>
  </r>
  <r>
    <n v="221"/>
    <x v="0"/>
    <x v="3"/>
    <x v="5"/>
    <x v="2"/>
    <n v="1683"/>
    <n v="260"/>
    <n v="7"/>
    <n v="589.04999999999995"/>
    <n v="8415"/>
    <x v="4"/>
    <n v="7"/>
    <x v="4"/>
    <x v="4"/>
    <x v="0"/>
    <n v="11781"/>
    <n v="11191.95"/>
    <n v="2776.9500000000007"/>
    <n v="0.24812030075187974"/>
    <x v="0"/>
  </r>
  <r>
    <n v="222"/>
    <x v="2"/>
    <x v="3"/>
    <x v="5"/>
    <x v="2"/>
    <n v="1123"/>
    <n v="260"/>
    <n v="12"/>
    <n v="673.8"/>
    <n v="3369"/>
    <x v="5"/>
    <n v="8"/>
    <x v="5"/>
    <x v="5"/>
    <x v="0"/>
    <n v="13476"/>
    <n v="12802.2"/>
    <n v="9433.2000000000007"/>
    <n v="0.73684210526315796"/>
    <x v="0"/>
  </r>
  <r>
    <n v="223"/>
    <x v="0"/>
    <x v="1"/>
    <x v="5"/>
    <x v="2"/>
    <n v="1159"/>
    <n v="260"/>
    <n v="7"/>
    <n v="405.65"/>
    <n v="5795"/>
    <x v="7"/>
    <n v="10"/>
    <x v="7"/>
    <x v="7"/>
    <x v="1"/>
    <n v="8113"/>
    <n v="7707.35"/>
    <n v="1912.3500000000004"/>
    <n v="0.24812030075187974"/>
    <x v="0"/>
  </r>
  <r>
    <n v="224"/>
    <x v="2"/>
    <x v="2"/>
    <x v="0"/>
    <x v="2"/>
    <n v="1865"/>
    <n v="3"/>
    <n v="12"/>
    <n v="1119"/>
    <n v="5595"/>
    <x v="8"/>
    <n v="2"/>
    <x v="8"/>
    <x v="8"/>
    <x v="0"/>
    <n v="22380"/>
    <n v="21261"/>
    <n v="15666"/>
    <n v="0.73684210526315785"/>
    <x v="0"/>
  </r>
  <r>
    <n v="225"/>
    <x v="2"/>
    <x v="1"/>
    <x v="0"/>
    <x v="2"/>
    <n v="1116"/>
    <n v="3"/>
    <n v="12"/>
    <n v="669.6"/>
    <n v="3348"/>
    <x v="8"/>
    <n v="2"/>
    <x v="8"/>
    <x v="8"/>
    <x v="0"/>
    <n v="13392"/>
    <n v="12722.4"/>
    <n v="9374.4"/>
    <n v="0.73684210526315785"/>
    <x v="0"/>
  </r>
  <r>
    <n v="226"/>
    <x v="0"/>
    <x v="2"/>
    <x v="0"/>
    <x v="2"/>
    <n v="1563"/>
    <n v="3"/>
    <n v="20"/>
    <n v="1563"/>
    <n v="15630"/>
    <x v="14"/>
    <n v="5"/>
    <x v="11"/>
    <x v="11"/>
    <x v="0"/>
    <n v="31260"/>
    <n v="29697"/>
    <n v="14067"/>
    <n v="0.47368421052631576"/>
    <x v="0"/>
  </r>
  <r>
    <n v="227"/>
    <x v="4"/>
    <x v="4"/>
    <x v="0"/>
    <x v="2"/>
    <n v="991"/>
    <n v="3"/>
    <n v="300"/>
    <n v="14865"/>
    <n v="247750"/>
    <x v="1"/>
    <n v="6"/>
    <x v="1"/>
    <x v="1"/>
    <x v="0"/>
    <n v="297300"/>
    <n v="282435"/>
    <n v="34685"/>
    <n v="0.12280701754385964"/>
    <x v="2"/>
  </r>
  <r>
    <n v="228"/>
    <x v="0"/>
    <x v="1"/>
    <x v="0"/>
    <x v="2"/>
    <n v="1016"/>
    <n v="3"/>
    <n v="7"/>
    <n v="355.6"/>
    <n v="5080"/>
    <x v="11"/>
    <n v="11"/>
    <x v="9"/>
    <x v="9"/>
    <x v="1"/>
    <n v="7112"/>
    <n v="6756.4"/>
    <n v="1676.3999999999996"/>
    <n v="0.24812030075187966"/>
    <x v="0"/>
  </r>
  <r>
    <n v="229"/>
    <x v="1"/>
    <x v="3"/>
    <x v="0"/>
    <x v="2"/>
    <n v="2791"/>
    <n v="3"/>
    <n v="15"/>
    <n v="2093.25"/>
    <n v="27910"/>
    <x v="15"/>
    <n v="11"/>
    <x v="9"/>
    <x v="9"/>
    <x v="0"/>
    <n v="41865"/>
    <n v="39771.75"/>
    <n v="11861.75"/>
    <n v="0.2982456140350877"/>
    <x v="0"/>
  </r>
  <r>
    <n v="230"/>
    <x v="0"/>
    <x v="4"/>
    <x v="0"/>
    <x v="2"/>
    <n v="570"/>
    <n v="3"/>
    <n v="7"/>
    <n v="199.5"/>
    <n v="2850"/>
    <x v="2"/>
    <n v="12"/>
    <x v="2"/>
    <x v="2"/>
    <x v="0"/>
    <n v="3990"/>
    <n v="3790.5"/>
    <n v="940.5"/>
    <n v="0.24812030075187969"/>
    <x v="0"/>
  </r>
  <r>
    <n v="231"/>
    <x v="0"/>
    <x v="2"/>
    <x v="0"/>
    <x v="2"/>
    <n v="2487"/>
    <n v="3"/>
    <n v="7"/>
    <n v="870.45"/>
    <n v="12435"/>
    <x v="2"/>
    <n v="12"/>
    <x v="2"/>
    <x v="2"/>
    <x v="0"/>
    <n v="17409"/>
    <n v="16538.55"/>
    <n v="4103.5499999999993"/>
    <n v="0.24812030075187966"/>
    <x v="0"/>
  </r>
  <r>
    <n v="232"/>
    <x v="0"/>
    <x v="2"/>
    <x v="1"/>
    <x v="2"/>
    <n v="1384.5"/>
    <n v="5"/>
    <n v="350"/>
    <n v="24228.75"/>
    <n v="359970"/>
    <x v="0"/>
    <n v="1"/>
    <x v="0"/>
    <x v="0"/>
    <x v="0"/>
    <n v="484575"/>
    <n v="460346.25"/>
    <n v="100376.25"/>
    <n v="0.21804511278195488"/>
    <x v="0"/>
  </r>
  <r>
    <n v="233"/>
    <x v="3"/>
    <x v="4"/>
    <x v="1"/>
    <x v="2"/>
    <n v="3627"/>
    <n v="5"/>
    <n v="125"/>
    <n v="22668.75"/>
    <n v="435240"/>
    <x v="4"/>
    <n v="7"/>
    <x v="4"/>
    <x v="4"/>
    <x v="0"/>
    <n v="453375"/>
    <n v="430706.25"/>
    <n v="-4533.75"/>
    <n v="-1.0526315789473684E-2"/>
    <x v="3"/>
  </r>
  <r>
    <n v="234"/>
    <x v="0"/>
    <x v="3"/>
    <x v="1"/>
    <x v="2"/>
    <n v="720"/>
    <n v="5"/>
    <n v="350"/>
    <n v="12600"/>
    <n v="187200"/>
    <x v="9"/>
    <n v="9"/>
    <x v="6"/>
    <x v="6"/>
    <x v="1"/>
    <n v="252000"/>
    <n v="239400"/>
    <n v="52200"/>
    <n v="0.21804511278195488"/>
    <x v="0"/>
  </r>
  <r>
    <n v="235"/>
    <x v="2"/>
    <x v="1"/>
    <x v="1"/>
    <x v="2"/>
    <n v="2342"/>
    <n v="5"/>
    <n v="12"/>
    <n v="1405.2"/>
    <n v="7026"/>
    <x v="15"/>
    <n v="11"/>
    <x v="9"/>
    <x v="9"/>
    <x v="0"/>
    <n v="28104"/>
    <n v="26698.799999999999"/>
    <n v="19672.8"/>
    <n v="0.73684210526315785"/>
    <x v="0"/>
  </r>
  <r>
    <n v="236"/>
    <x v="4"/>
    <x v="3"/>
    <x v="1"/>
    <x v="2"/>
    <n v="1100"/>
    <n v="5"/>
    <n v="300"/>
    <n v="16500"/>
    <n v="275000"/>
    <x v="12"/>
    <n v="12"/>
    <x v="2"/>
    <x v="2"/>
    <x v="1"/>
    <n v="330000"/>
    <n v="313500"/>
    <n v="38500"/>
    <n v="0.12280701754385964"/>
    <x v="2"/>
  </r>
  <r>
    <n v="237"/>
    <x v="0"/>
    <x v="2"/>
    <x v="2"/>
    <x v="2"/>
    <n v="1303"/>
    <n v="10"/>
    <n v="20"/>
    <n v="1303"/>
    <n v="13030"/>
    <x v="8"/>
    <n v="2"/>
    <x v="8"/>
    <x v="8"/>
    <x v="0"/>
    <n v="26060"/>
    <n v="24757"/>
    <n v="11727"/>
    <n v="0.47368421052631576"/>
    <x v="0"/>
  </r>
  <r>
    <n v="238"/>
    <x v="3"/>
    <x v="4"/>
    <x v="2"/>
    <x v="2"/>
    <n v="2992"/>
    <n v="10"/>
    <n v="125"/>
    <n v="18700"/>
    <n v="359040"/>
    <x v="3"/>
    <n v="3"/>
    <x v="3"/>
    <x v="3"/>
    <x v="0"/>
    <n v="374000"/>
    <n v="355300"/>
    <n v="-3740"/>
    <n v="-1.0526315789473684E-2"/>
    <x v="3"/>
  </r>
  <r>
    <n v="239"/>
    <x v="3"/>
    <x v="2"/>
    <x v="2"/>
    <x v="2"/>
    <n v="2385"/>
    <n v="10"/>
    <n v="125"/>
    <n v="14906.25"/>
    <n v="286200"/>
    <x v="3"/>
    <n v="3"/>
    <x v="3"/>
    <x v="3"/>
    <x v="0"/>
    <n v="298125"/>
    <n v="283218.75"/>
    <n v="-2981.25"/>
    <n v="-1.0526315789473684E-2"/>
    <x v="3"/>
  </r>
  <r>
    <n v="240"/>
    <x v="4"/>
    <x v="3"/>
    <x v="2"/>
    <x v="2"/>
    <n v="1607"/>
    <n v="10"/>
    <n v="300"/>
    <n v="24105"/>
    <n v="401750"/>
    <x v="13"/>
    <n v="4"/>
    <x v="10"/>
    <x v="10"/>
    <x v="0"/>
    <n v="482100"/>
    <n v="457995"/>
    <n v="56245"/>
    <n v="0.12280701754385964"/>
    <x v="2"/>
  </r>
  <r>
    <n v="241"/>
    <x v="0"/>
    <x v="4"/>
    <x v="2"/>
    <x v="2"/>
    <n v="2327"/>
    <n v="10"/>
    <n v="7"/>
    <n v="814.45"/>
    <n v="11635"/>
    <x v="14"/>
    <n v="5"/>
    <x v="11"/>
    <x v="11"/>
    <x v="0"/>
    <n v="16289"/>
    <n v="15474.55"/>
    <n v="3839.5499999999993"/>
    <n v="0.24812030075187966"/>
    <x v="0"/>
  </r>
  <r>
    <n v="242"/>
    <x v="4"/>
    <x v="4"/>
    <x v="2"/>
    <x v="2"/>
    <n v="991"/>
    <n v="10"/>
    <n v="300"/>
    <n v="14865"/>
    <n v="247750"/>
    <x v="1"/>
    <n v="6"/>
    <x v="1"/>
    <x v="1"/>
    <x v="0"/>
    <n v="297300"/>
    <n v="282435"/>
    <n v="34685"/>
    <n v="0.12280701754385964"/>
    <x v="2"/>
  </r>
  <r>
    <n v="243"/>
    <x v="0"/>
    <x v="4"/>
    <x v="2"/>
    <x v="2"/>
    <n v="602"/>
    <n v="10"/>
    <n v="350"/>
    <n v="10535"/>
    <n v="156520"/>
    <x v="1"/>
    <n v="6"/>
    <x v="1"/>
    <x v="1"/>
    <x v="0"/>
    <n v="210700"/>
    <n v="200165"/>
    <n v="43645"/>
    <n v="0.21804511278195488"/>
    <x v="0"/>
  </r>
  <r>
    <n v="244"/>
    <x v="1"/>
    <x v="2"/>
    <x v="2"/>
    <x v="2"/>
    <n v="2620"/>
    <n v="10"/>
    <n v="15"/>
    <n v="1965"/>
    <n v="26200"/>
    <x v="6"/>
    <n v="9"/>
    <x v="6"/>
    <x v="6"/>
    <x v="0"/>
    <n v="39300"/>
    <n v="37335"/>
    <n v="11135"/>
    <n v="0.2982456140350877"/>
    <x v="0"/>
  </r>
  <r>
    <n v="245"/>
    <x v="0"/>
    <x v="0"/>
    <x v="2"/>
    <x v="2"/>
    <n v="1228"/>
    <n v="10"/>
    <n v="350"/>
    <n v="21490"/>
    <n v="319280"/>
    <x v="7"/>
    <n v="10"/>
    <x v="7"/>
    <x v="7"/>
    <x v="1"/>
    <n v="429800"/>
    <n v="408310"/>
    <n v="89030"/>
    <n v="0.21804511278195488"/>
    <x v="0"/>
  </r>
  <r>
    <n v="246"/>
    <x v="0"/>
    <x v="0"/>
    <x v="2"/>
    <x v="2"/>
    <n v="1389"/>
    <n v="10"/>
    <n v="20"/>
    <n v="1389"/>
    <n v="13890"/>
    <x v="7"/>
    <n v="10"/>
    <x v="7"/>
    <x v="7"/>
    <x v="1"/>
    <n v="27780"/>
    <n v="26391"/>
    <n v="12501"/>
    <n v="0.47368421052631576"/>
    <x v="0"/>
  </r>
  <r>
    <n v="247"/>
    <x v="3"/>
    <x v="4"/>
    <x v="2"/>
    <x v="2"/>
    <n v="861"/>
    <n v="10"/>
    <n v="125"/>
    <n v="5381.25"/>
    <n v="103320"/>
    <x v="10"/>
    <n v="10"/>
    <x v="7"/>
    <x v="7"/>
    <x v="0"/>
    <n v="107625"/>
    <n v="102243.75"/>
    <n v="-1076.25"/>
    <n v="-1.0526315789473684E-2"/>
    <x v="3"/>
  </r>
  <r>
    <n v="248"/>
    <x v="3"/>
    <x v="2"/>
    <x v="2"/>
    <x v="2"/>
    <n v="704"/>
    <n v="10"/>
    <n v="125"/>
    <n v="4400"/>
    <n v="84480"/>
    <x v="7"/>
    <n v="10"/>
    <x v="7"/>
    <x v="7"/>
    <x v="1"/>
    <n v="88000"/>
    <n v="83600"/>
    <n v="-880"/>
    <n v="-1.0526315789473684E-2"/>
    <x v="3"/>
  </r>
  <r>
    <n v="249"/>
    <x v="0"/>
    <x v="0"/>
    <x v="2"/>
    <x v="2"/>
    <n v="1802"/>
    <n v="10"/>
    <n v="20"/>
    <n v="1802"/>
    <n v="18020"/>
    <x v="12"/>
    <n v="12"/>
    <x v="2"/>
    <x v="2"/>
    <x v="1"/>
    <n v="36040"/>
    <n v="34238"/>
    <n v="16218"/>
    <n v="0.47368421052631576"/>
    <x v="0"/>
  </r>
  <r>
    <n v="250"/>
    <x v="0"/>
    <x v="4"/>
    <x v="2"/>
    <x v="2"/>
    <n v="2663"/>
    <n v="10"/>
    <n v="20"/>
    <n v="2663"/>
    <n v="26630"/>
    <x v="2"/>
    <n v="12"/>
    <x v="2"/>
    <x v="2"/>
    <x v="0"/>
    <n v="53260"/>
    <n v="50597"/>
    <n v="23967"/>
    <n v="0.47368421052631576"/>
    <x v="0"/>
  </r>
  <r>
    <n v="251"/>
    <x v="0"/>
    <x v="2"/>
    <x v="2"/>
    <x v="2"/>
    <n v="2136"/>
    <n v="10"/>
    <n v="7"/>
    <n v="747.6"/>
    <n v="10680"/>
    <x v="12"/>
    <n v="12"/>
    <x v="2"/>
    <x v="2"/>
    <x v="1"/>
    <n v="14952"/>
    <n v="14204.4"/>
    <n v="3524.3999999999996"/>
    <n v="0.24812030075187969"/>
    <x v="0"/>
  </r>
  <r>
    <n v="252"/>
    <x v="1"/>
    <x v="1"/>
    <x v="2"/>
    <x v="2"/>
    <n v="2116"/>
    <n v="10"/>
    <n v="15"/>
    <n v="1587"/>
    <n v="21160"/>
    <x v="12"/>
    <n v="12"/>
    <x v="2"/>
    <x v="2"/>
    <x v="1"/>
    <n v="31740"/>
    <n v="30153"/>
    <n v="8993"/>
    <n v="0.2982456140350877"/>
    <x v="0"/>
  </r>
  <r>
    <n v="253"/>
    <x v="1"/>
    <x v="4"/>
    <x v="3"/>
    <x v="2"/>
    <n v="555"/>
    <n v="120"/>
    <n v="15"/>
    <n v="416.25"/>
    <n v="5550"/>
    <x v="0"/>
    <n v="1"/>
    <x v="0"/>
    <x v="0"/>
    <x v="0"/>
    <n v="8325"/>
    <n v="7908.75"/>
    <n v="2358.75"/>
    <n v="0.2982456140350877"/>
    <x v="0"/>
  </r>
  <r>
    <n v="254"/>
    <x v="1"/>
    <x v="3"/>
    <x v="3"/>
    <x v="2"/>
    <n v="2861"/>
    <n v="120"/>
    <n v="15"/>
    <n v="2145.75"/>
    <n v="28610"/>
    <x v="0"/>
    <n v="1"/>
    <x v="0"/>
    <x v="0"/>
    <x v="0"/>
    <n v="42915"/>
    <n v="40769.25"/>
    <n v="12159.25"/>
    <n v="0.2982456140350877"/>
    <x v="0"/>
  </r>
  <r>
    <n v="255"/>
    <x v="3"/>
    <x v="1"/>
    <x v="3"/>
    <x v="2"/>
    <n v="807"/>
    <n v="120"/>
    <n v="125"/>
    <n v="5043.75"/>
    <n v="96840"/>
    <x v="8"/>
    <n v="2"/>
    <x v="8"/>
    <x v="8"/>
    <x v="0"/>
    <n v="100875"/>
    <n v="95831.25"/>
    <n v="-1008.75"/>
    <n v="-1.0526315789473684E-2"/>
    <x v="3"/>
  </r>
  <r>
    <n v="256"/>
    <x v="0"/>
    <x v="4"/>
    <x v="3"/>
    <x v="2"/>
    <n v="602"/>
    <n v="120"/>
    <n v="350"/>
    <n v="10535"/>
    <n v="156520"/>
    <x v="1"/>
    <n v="6"/>
    <x v="1"/>
    <x v="1"/>
    <x v="0"/>
    <n v="210700"/>
    <n v="200165"/>
    <n v="43645"/>
    <n v="0.21804511278195488"/>
    <x v="0"/>
  </r>
  <r>
    <n v="257"/>
    <x v="0"/>
    <x v="4"/>
    <x v="3"/>
    <x v="2"/>
    <n v="2832"/>
    <n v="120"/>
    <n v="20"/>
    <n v="2832"/>
    <n v="28320"/>
    <x v="5"/>
    <n v="8"/>
    <x v="5"/>
    <x v="5"/>
    <x v="0"/>
    <n v="56640"/>
    <n v="53808"/>
    <n v="25488"/>
    <n v="0.47368421052631576"/>
    <x v="0"/>
  </r>
  <r>
    <n v="258"/>
    <x v="0"/>
    <x v="2"/>
    <x v="3"/>
    <x v="2"/>
    <n v="1579"/>
    <n v="120"/>
    <n v="20"/>
    <n v="1579"/>
    <n v="15790"/>
    <x v="5"/>
    <n v="8"/>
    <x v="5"/>
    <x v="5"/>
    <x v="0"/>
    <n v="31580"/>
    <n v="30001"/>
    <n v="14211"/>
    <n v="0.47368421052631576"/>
    <x v="0"/>
  </r>
  <r>
    <n v="259"/>
    <x v="3"/>
    <x v="4"/>
    <x v="3"/>
    <x v="2"/>
    <n v="861"/>
    <n v="120"/>
    <n v="125"/>
    <n v="5381.25"/>
    <n v="103320"/>
    <x v="10"/>
    <n v="10"/>
    <x v="7"/>
    <x v="7"/>
    <x v="0"/>
    <n v="107625"/>
    <n v="102243.75"/>
    <n v="-1076.25"/>
    <n v="-1.0526315789473684E-2"/>
    <x v="3"/>
  </r>
  <r>
    <n v="260"/>
    <x v="3"/>
    <x v="2"/>
    <x v="3"/>
    <x v="2"/>
    <n v="704"/>
    <n v="120"/>
    <n v="125"/>
    <n v="4400"/>
    <n v="84480"/>
    <x v="7"/>
    <n v="10"/>
    <x v="7"/>
    <x v="7"/>
    <x v="1"/>
    <n v="88000"/>
    <n v="83600"/>
    <n v="-880"/>
    <n v="-1.0526315789473684E-2"/>
    <x v="3"/>
  </r>
  <r>
    <n v="261"/>
    <x v="0"/>
    <x v="2"/>
    <x v="3"/>
    <x v="2"/>
    <n v="1033"/>
    <n v="120"/>
    <n v="20"/>
    <n v="1033"/>
    <n v="10330"/>
    <x v="12"/>
    <n v="12"/>
    <x v="2"/>
    <x v="2"/>
    <x v="1"/>
    <n v="20660"/>
    <n v="19627"/>
    <n v="9297"/>
    <n v="0.47368421052631576"/>
    <x v="0"/>
  </r>
  <r>
    <n v="262"/>
    <x v="4"/>
    <x v="1"/>
    <x v="3"/>
    <x v="2"/>
    <n v="1250"/>
    <n v="120"/>
    <n v="300"/>
    <n v="18750"/>
    <n v="312500"/>
    <x v="2"/>
    <n v="12"/>
    <x v="2"/>
    <x v="2"/>
    <x v="0"/>
    <n v="375000"/>
    <n v="356250"/>
    <n v="43750"/>
    <n v="0.12280701754385964"/>
    <x v="2"/>
  </r>
  <r>
    <n v="263"/>
    <x v="0"/>
    <x v="0"/>
    <x v="4"/>
    <x v="2"/>
    <n v="1389"/>
    <n v="250"/>
    <n v="20"/>
    <n v="1389"/>
    <n v="13890"/>
    <x v="7"/>
    <n v="10"/>
    <x v="7"/>
    <x v="7"/>
    <x v="1"/>
    <n v="27780"/>
    <n v="26391"/>
    <n v="12501"/>
    <n v="0.47368421052631576"/>
    <x v="0"/>
  </r>
  <r>
    <n v="264"/>
    <x v="0"/>
    <x v="4"/>
    <x v="4"/>
    <x v="2"/>
    <n v="1265"/>
    <n v="250"/>
    <n v="20"/>
    <n v="1265"/>
    <n v="12650"/>
    <x v="11"/>
    <n v="11"/>
    <x v="9"/>
    <x v="9"/>
    <x v="1"/>
    <n v="25300"/>
    <n v="24035"/>
    <n v="11385"/>
    <n v="0.47368421052631576"/>
    <x v="0"/>
  </r>
  <r>
    <n v="265"/>
    <x v="0"/>
    <x v="1"/>
    <x v="4"/>
    <x v="2"/>
    <n v="2297"/>
    <n v="250"/>
    <n v="20"/>
    <n v="2297"/>
    <n v="22970"/>
    <x v="11"/>
    <n v="11"/>
    <x v="9"/>
    <x v="9"/>
    <x v="1"/>
    <n v="45940"/>
    <n v="43643"/>
    <n v="20673"/>
    <n v="0.47368421052631576"/>
    <x v="0"/>
  </r>
  <r>
    <n v="266"/>
    <x v="0"/>
    <x v="4"/>
    <x v="4"/>
    <x v="2"/>
    <n v="2663"/>
    <n v="250"/>
    <n v="20"/>
    <n v="2663"/>
    <n v="26630"/>
    <x v="2"/>
    <n v="12"/>
    <x v="2"/>
    <x v="2"/>
    <x v="0"/>
    <n v="53260"/>
    <n v="50597"/>
    <n v="23967"/>
    <n v="0.47368421052631576"/>
    <x v="0"/>
  </r>
  <r>
    <n v="267"/>
    <x v="0"/>
    <x v="4"/>
    <x v="4"/>
    <x v="2"/>
    <n v="570"/>
    <n v="250"/>
    <n v="7"/>
    <n v="199.5"/>
    <n v="2850"/>
    <x v="2"/>
    <n v="12"/>
    <x v="2"/>
    <x v="2"/>
    <x v="0"/>
    <n v="3990"/>
    <n v="3790.5"/>
    <n v="940.5"/>
    <n v="0.24812030075187969"/>
    <x v="0"/>
  </r>
  <r>
    <n v="268"/>
    <x v="0"/>
    <x v="2"/>
    <x v="4"/>
    <x v="2"/>
    <n v="2487"/>
    <n v="250"/>
    <n v="7"/>
    <n v="870.45"/>
    <n v="12435"/>
    <x v="2"/>
    <n v="12"/>
    <x v="2"/>
    <x v="2"/>
    <x v="0"/>
    <n v="17409"/>
    <n v="16538.55"/>
    <n v="4103.5499999999993"/>
    <n v="0.24812030075187966"/>
    <x v="0"/>
  </r>
  <r>
    <n v="269"/>
    <x v="0"/>
    <x v="1"/>
    <x v="5"/>
    <x v="2"/>
    <n v="1350"/>
    <n v="260"/>
    <n v="350"/>
    <n v="23625"/>
    <n v="351000"/>
    <x v="8"/>
    <n v="2"/>
    <x v="8"/>
    <x v="8"/>
    <x v="0"/>
    <n v="472500"/>
    <n v="448875"/>
    <n v="97875"/>
    <n v="0.21804511278195488"/>
    <x v="0"/>
  </r>
  <r>
    <n v="270"/>
    <x v="0"/>
    <x v="0"/>
    <x v="5"/>
    <x v="2"/>
    <n v="552"/>
    <n v="260"/>
    <n v="350"/>
    <n v="9660"/>
    <n v="143520"/>
    <x v="5"/>
    <n v="8"/>
    <x v="5"/>
    <x v="5"/>
    <x v="0"/>
    <n v="193200"/>
    <n v="183540"/>
    <n v="40020"/>
    <n v="0.21804511278195488"/>
    <x v="0"/>
  </r>
  <r>
    <n v="271"/>
    <x v="0"/>
    <x v="0"/>
    <x v="5"/>
    <x v="2"/>
    <n v="1228"/>
    <n v="260"/>
    <n v="350"/>
    <n v="21490"/>
    <n v="319280"/>
    <x v="7"/>
    <n v="10"/>
    <x v="7"/>
    <x v="7"/>
    <x v="1"/>
    <n v="429800"/>
    <n v="408310"/>
    <n v="89030"/>
    <n v="0.21804511278195488"/>
    <x v="0"/>
  </r>
  <r>
    <n v="272"/>
    <x v="4"/>
    <x v="1"/>
    <x v="5"/>
    <x v="2"/>
    <n v="1250"/>
    <n v="260"/>
    <n v="300"/>
    <n v="18750"/>
    <n v="312500"/>
    <x v="2"/>
    <n v="12"/>
    <x v="2"/>
    <x v="2"/>
    <x v="0"/>
    <n v="375000"/>
    <n v="356250"/>
    <n v="43750"/>
    <n v="0.12280701754385964"/>
    <x v="2"/>
  </r>
  <r>
    <n v="273"/>
    <x v="1"/>
    <x v="2"/>
    <x v="2"/>
    <x v="2"/>
    <n v="3801"/>
    <n v="10"/>
    <n v="15"/>
    <n v="3420.8999999999996"/>
    <n v="38010"/>
    <x v="13"/>
    <n v="4"/>
    <x v="10"/>
    <x v="10"/>
    <x v="0"/>
    <n v="57015"/>
    <n v="53594.1"/>
    <n v="15584.099999999999"/>
    <n v="0.29078014184397161"/>
    <x v="0"/>
  </r>
  <r>
    <n v="274"/>
    <x v="0"/>
    <x v="4"/>
    <x v="0"/>
    <x v="2"/>
    <n v="1117.5"/>
    <n v="3"/>
    <n v="20"/>
    <n v="1341"/>
    <n v="11175"/>
    <x v="0"/>
    <n v="1"/>
    <x v="0"/>
    <x v="0"/>
    <x v="0"/>
    <n v="22350"/>
    <n v="21009"/>
    <n v="9834"/>
    <n v="0.46808510638297873"/>
    <x v="0"/>
  </r>
  <r>
    <n v="275"/>
    <x v="1"/>
    <x v="0"/>
    <x v="0"/>
    <x v="2"/>
    <n v="2844"/>
    <n v="3"/>
    <n v="15"/>
    <n v="2559.6"/>
    <n v="28440"/>
    <x v="1"/>
    <n v="6"/>
    <x v="1"/>
    <x v="1"/>
    <x v="0"/>
    <n v="42660"/>
    <n v="40100.400000000001"/>
    <n v="11660.400000000001"/>
    <n v="0.29078014184397166"/>
    <x v="0"/>
  </r>
  <r>
    <n v="276"/>
    <x v="2"/>
    <x v="3"/>
    <x v="0"/>
    <x v="2"/>
    <n v="562"/>
    <n v="3"/>
    <n v="12"/>
    <n v="404.64"/>
    <n v="1686"/>
    <x v="6"/>
    <n v="9"/>
    <x v="6"/>
    <x v="6"/>
    <x v="0"/>
    <n v="6744"/>
    <n v="6339.36"/>
    <n v="4653.3599999999997"/>
    <n v="0.73404255319148937"/>
    <x v="0"/>
  </r>
  <r>
    <n v="277"/>
    <x v="2"/>
    <x v="0"/>
    <x v="0"/>
    <x v="2"/>
    <n v="2299"/>
    <n v="3"/>
    <n v="12"/>
    <n v="1655.28"/>
    <n v="6897"/>
    <x v="7"/>
    <n v="10"/>
    <x v="7"/>
    <x v="7"/>
    <x v="1"/>
    <n v="27588"/>
    <n v="25932.720000000001"/>
    <n v="19035.72"/>
    <n v="0.73404255319148937"/>
    <x v="0"/>
  </r>
  <r>
    <n v="278"/>
    <x v="1"/>
    <x v="4"/>
    <x v="0"/>
    <x v="2"/>
    <n v="2030"/>
    <n v="3"/>
    <n v="15"/>
    <n v="1827"/>
    <n v="20300"/>
    <x v="15"/>
    <n v="11"/>
    <x v="9"/>
    <x v="9"/>
    <x v="0"/>
    <n v="30450"/>
    <n v="28623"/>
    <n v="8323"/>
    <n v="0.29078014184397161"/>
    <x v="0"/>
  </r>
  <r>
    <n v="279"/>
    <x v="0"/>
    <x v="4"/>
    <x v="0"/>
    <x v="2"/>
    <n v="263"/>
    <n v="3"/>
    <n v="7"/>
    <n v="110.46"/>
    <n v="1315"/>
    <x v="11"/>
    <n v="11"/>
    <x v="9"/>
    <x v="9"/>
    <x v="1"/>
    <n v="1841"/>
    <n v="1730.54"/>
    <n v="415.53999999999996"/>
    <n v="0.24012158054711244"/>
    <x v="0"/>
  </r>
  <r>
    <n v="280"/>
    <x v="3"/>
    <x v="1"/>
    <x v="0"/>
    <x v="2"/>
    <n v="887"/>
    <n v="3"/>
    <n v="125"/>
    <n v="6652.5"/>
    <n v="106440"/>
    <x v="12"/>
    <n v="12"/>
    <x v="2"/>
    <x v="2"/>
    <x v="1"/>
    <n v="110875"/>
    <n v="104222.5"/>
    <n v="-2217.5"/>
    <n v="-2.1276595744680851E-2"/>
    <x v="3"/>
  </r>
  <r>
    <n v="281"/>
    <x v="0"/>
    <x v="3"/>
    <x v="1"/>
    <x v="2"/>
    <n v="980"/>
    <n v="5"/>
    <n v="350"/>
    <n v="20580"/>
    <n v="254800"/>
    <x v="13"/>
    <n v="4"/>
    <x v="10"/>
    <x v="10"/>
    <x v="0"/>
    <n v="343000"/>
    <n v="322420"/>
    <n v="67620"/>
    <n v="0.20972644376899696"/>
    <x v="0"/>
  </r>
  <r>
    <n v="282"/>
    <x v="0"/>
    <x v="1"/>
    <x v="1"/>
    <x v="2"/>
    <n v="1460"/>
    <n v="5"/>
    <n v="350"/>
    <n v="30660"/>
    <n v="379600"/>
    <x v="14"/>
    <n v="5"/>
    <x v="11"/>
    <x v="11"/>
    <x v="0"/>
    <n v="511000"/>
    <n v="480340"/>
    <n v="100740"/>
    <n v="0.20972644376899696"/>
    <x v="0"/>
  </r>
  <r>
    <n v="283"/>
    <x v="0"/>
    <x v="2"/>
    <x v="1"/>
    <x v="2"/>
    <n v="1403"/>
    <n v="5"/>
    <n v="7"/>
    <n v="589.26"/>
    <n v="7015"/>
    <x v="7"/>
    <n v="10"/>
    <x v="7"/>
    <x v="7"/>
    <x v="1"/>
    <n v="9821"/>
    <n v="9231.74"/>
    <n v="2216.7399999999998"/>
    <n v="0.24012158054711244"/>
    <x v="0"/>
  </r>
  <r>
    <n v="284"/>
    <x v="2"/>
    <x v="4"/>
    <x v="1"/>
    <x v="2"/>
    <n v="2723"/>
    <n v="5"/>
    <n v="12"/>
    <n v="1960.56"/>
    <n v="8169"/>
    <x v="15"/>
    <n v="11"/>
    <x v="9"/>
    <x v="9"/>
    <x v="0"/>
    <n v="32676"/>
    <n v="30715.439999999999"/>
    <n v="22546.44"/>
    <n v="0.73404255319148937"/>
    <x v="0"/>
  </r>
  <r>
    <n v="285"/>
    <x v="0"/>
    <x v="2"/>
    <x v="2"/>
    <x v="2"/>
    <n v="1496"/>
    <n v="10"/>
    <n v="350"/>
    <n v="31416"/>
    <n v="388960"/>
    <x v="1"/>
    <n v="6"/>
    <x v="1"/>
    <x v="1"/>
    <x v="0"/>
    <n v="523600"/>
    <n v="492184"/>
    <n v="103224"/>
    <n v="0.20972644376899696"/>
    <x v="0"/>
  </r>
  <r>
    <n v="286"/>
    <x v="2"/>
    <x v="0"/>
    <x v="2"/>
    <x v="2"/>
    <n v="2299"/>
    <n v="10"/>
    <n v="12"/>
    <n v="1655.28"/>
    <n v="6897"/>
    <x v="7"/>
    <n v="10"/>
    <x v="7"/>
    <x v="7"/>
    <x v="1"/>
    <n v="27588"/>
    <n v="25932.720000000001"/>
    <n v="19035.72"/>
    <n v="0.73404255319148937"/>
    <x v="0"/>
  </r>
  <r>
    <n v="287"/>
    <x v="0"/>
    <x v="4"/>
    <x v="2"/>
    <x v="2"/>
    <n v="727"/>
    <n v="10"/>
    <n v="350"/>
    <n v="15267"/>
    <n v="189020"/>
    <x v="7"/>
    <n v="10"/>
    <x v="7"/>
    <x v="7"/>
    <x v="1"/>
    <n v="254450"/>
    <n v="239183"/>
    <n v="50163"/>
    <n v="0.20972644376899696"/>
    <x v="0"/>
  </r>
  <r>
    <n v="288"/>
    <x v="3"/>
    <x v="0"/>
    <x v="3"/>
    <x v="2"/>
    <n v="952"/>
    <n v="120"/>
    <n v="125"/>
    <n v="7140"/>
    <n v="114240"/>
    <x v="8"/>
    <n v="2"/>
    <x v="8"/>
    <x v="8"/>
    <x v="0"/>
    <n v="119000"/>
    <n v="111860"/>
    <n v="-2380"/>
    <n v="-2.1276595744680851E-2"/>
    <x v="3"/>
  </r>
  <r>
    <n v="289"/>
    <x v="3"/>
    <x v="4"/>
    <x v="3"/>
    <x v="2"/>
    <n v="2755"/>
    <n v="120"/>
    <n v="125"/>
    <n v="20662.5"/>
    <n v="330600"/>
    <x v="8"/>
    <n v="2"/>
    <x v="8"/>
    <x v="8"/>
    <x v="0"/>
    <n v="344375"/>
    <n v="323712.5"/>
    <n v="-6887.5"/>
    <n v="-2.1276595744680851E-2"/>
    <x v="3"/>
  </r>
  <r>
    <n v="290"/>
    <x v="1"/>
    <x v="1"/>
    <x v="3"/>
    <x v="2"/>
    <n v="1530"/>
    <n v="120"/>
    <n v="15"/>
    <n v="1377"/>
    <n v="15300"/>
    <x v="14"/>
    <n v="5"/>
    <x v="11"/>
    <x v="11"/>
    <x v="0"/>
    <n v="22950"/>
    <n v="21573"/>
    <n v="6273"/>
    <n v="0.29078014184397161"/>
    <x v="0"/>
  </r>
  <r>
    <n v="291"/>
    <x v="0"/>
    <x v="2"/>
    <x v="3"/>
    <x v="2"/>
    <n v="1496"/>
    <n v="120"/>
    <n v="350"/>
    <n v="31416"/>
    <n v="388960"/>
    <x v="1"/>
    <n v="6"/>
    <x v="1"/>
    <x v="1"/>
    <x v="0"/>
    <n v="523600"/>
    <n v="492184"/>
    <n v="103224"/>
    <n v="0.20972644376899696"/>
    <x v="0"/>
  </r>
  <r>
    <n v="292"/>
    <x v="0"/>
    <x v="3"/>
    <x v="3"/>
    <x v="2"/>
    <n v="1498"/>
    <n v="120"/>
    <n v="7"/>
    <n v="629.16"/>
    <n v="7490"/>
    <x v="1"/>
    <n v="6"/>
    <x v="1"/>
    <x v="1"/>
    <x v="0"/>
    <n v="10486"/>
    <n v="9856.84"/>
    <n v="2366.84"/>
    <n v="0.24012158054711247"/>
    <x v="0"/>
  </r>
  <r>
    <n v="293"/>
    <x v="4"/>
    <x v="2"/>
    <x v="3"/>
    <x v="2"/>
    <n v="1221"/>
    <n v="120"/>
    <n v="300"/>
    <n v="21978"/>
    <n v="305250"/>
    <x v="7"/>
    <n v="10"/>
    <x v="7"/>
    <x v="7"/>
    <x v="1"/>
    <n v="366300"/>
    <n v="344322"/>
    <n v="39072"/>
    <n v="0.11347517730496454"/>
    <x v="2"/>
  </r>
  <r>
    <n v="294"/>
    <x v="0"/>
    <x v="2"/>
    <x v="3"/>
    <x v="2"/>
    <n v="2076"/>
    <n v="120"/>
    <n v="350"/>
    <n v="43596"/>
    <n v="539760"/>
    <x v="7"/>
    <n v="10"/>
    <x v="7"/>
    <x v="7"/>
    <x v="1"/>
    <n v="726600"/>
    <n v="683004"/>
    <n v="143244"/>
    <n v="0.20972644376899696"/>
    <x v="0"/>
  </r>
  <r>
    <n v="295"/>
    <x v="1"/>
    <x v="0"/>
    <x v="4"/>
    <x v="2"/>
    <n v="2844"/>
    <n v="250"/>
    <n v="15"/>
    <n v="2559.6"/>
    <n v="28440"/>
    <x v="1"/>
    <n v="6"/>
    <x v="1"/>
    <x v="1"/>
    <x v="0"/>
    <n v="42660"/>
    <n v="40100.400000000001"/>
    <n v="11660.400000000001"/>
    <n v="0.29078014184397166"/>
    <x v="0"/>
  </r>
  <r>
    <n v="296"/>
    <x v="0"/>
    <x v="3"/>
    <x v="4"/>
    <x v="2"/>
    <n v="1498"/>
    <n v="250"/>
    <n v="7"/>
    <n v="629.16"/>
    <n v="7490"/>
    <x v="1"/>
    <n v="6"/>
    <x v="1"/>
    <x v="1"/>
    <x v="0"/>
    <n v="10486"/>
    <n v="9856.84"/>
    <n v="2366.84"/>
    <n v="0.24012158054711247"/>
    <x v="0"/>
  </r>
  <r>
    <n v="297"/>
    <x v="4"/>
    <x v="2"/>
    <x v="4"/>
    <x v="2"/>
    <n v="1221"/>
    <n v="250"/>
    <n v="300"/>
    <n v="21978"/>
    <n v="305250"/>
    <x v="7"/>
    <n v="10"/>
    <x v="7"/>
    <x v="7"/>
    <x v="1"/>
    <n v="366300"/>
    <n v="344322"/>
    <n v="39072"/>
    <n v="0.11347517730496454"/>
    <x v="2"/>
  </r>
  <r>
    <n v="298"/>
    <x v="0"/>
    <x v="3"/>
    <x v="4"/>
    <x v="2"/>
    <n v="1123"/>
    <n v="250"/>
    <n v="20"/>
    <n v="1347.6"/>
    <n v="11230"/>
    <x v="11"/>
    <n v="11"/>
    <x v="9"/>
    <x v="9"/>
    <x v="1"/>
    <n v="22460"/>
    <n v="21112.400000000001"/>
    <n v="9882.4000000000015"/>
    <n v="0.46808510638297873"/>
    <x v="0"/>
  </r>
  <r>
    <n v="299"/>
    <x v="4"/>
    <x v="0"/>
    <x v="4"/>
    <x v="2"/>
    <n v="2436"/>
    <n v="250"/>
    <n v="300"/>
    <n v="43848"/>
    <n v="609000"/>
    <x v="12"/>
    <n v="12"/>
    <x v="2"/>
    <x v="2"/>
    <x v="1"/>
    <n v="730800"/>
    <n v="686952"/>
    <n v="77952"/>
    <n v="0.11347517730496454"/>
    <x v="2"/>
  </r>
  <r>
    <n v="300"/>
    <x v="3"/>
    <x v="2"/>
    <x v="5"/>
    <x v="2"/>
    <n v="1987.5"/>
    <n v="260"/>
    <n v="125"/>
    <n v="14906.25"/>
    <n v="238500"/>
    <x v="0"/>
    <n v="1"/>
    <x v="0"/>
    <x v="0"/>
    <x v="0"/>
    <n v="248437.5"/>
    <n v="233531.25"/>
    <n v="-4968.75"/>
    <n v="-2.1276595744680851E-2"/>
    <x v="3"/>
  </r>
  <r>
    <n v="301"/>
    <x v="0"/>
    <x v="3"/>
    <x v="5"/>
    <x v="2"/>
    <n v="1679"/>
    <n v="260"/>
    <n v="350"/>
    <n v="35259"/>
    <n v="436540"/>
    <x v="6"/>
    <n v="9"/>
    <x v="6"/>
    <x v="6"/>
    <x v="0"/>
    <n v="587650"/>
    <n v="552391"/>
    <n v="115851"/>
    <n v="0.20972644376899696"/>
    <x v="0"/>
  </r>
  <r>
    <n v="302"/>
    <x v="0"/>
    <x v="4"/>
    <x v="5"/>
    <x v="2"/>
    <n v="727"/>
    <n v="260"/>
    <n v="350"/>
    <n v="15267"/>
    <n v="189020"/>
    <x v="7"/>
    <n v="10"/>
    <x v="7"/>
    <x v="7"/>
    <x v="1"/>
    <n v="254450"/>
    <n v="239183"/>
    <n v="50163"/>
    <n v="0.20972644376899696"/>
    <x v="0"/>
  </r>
  <r>
    <n v="303"/>
    <x v="0"/>
    <x v="2"/>
    <x v="5"/>
    <x v="2"/>
    <n v="1403"/>
    <n v="260"/>
    <n v="7"/>
    <n v="589.26"/>
    <n v="7015"/>
    <x v="7"/>
    <n v="10"/>
    <x v="7"/>
    <x v="7"/>
    <x v="1"/>
    <n v="9821"/>
    <n v="9231.74"/>
    <n v="2216.7399999999998"/>
    <n v="0.24012158054711244"/>
    <x v="0"/>
  </r>
  <r>
    <n v="304"/>
    <x v="0"/>
    <x v="2"/>
    <x v="5"/>
    <x v="2"/>
    <n v="2076"/>
    <n v="260"/>
    <n v="350"/>
    <n v="43596"/>
    <n v="539760"/>
    <x v="7"/>
    <n v="10"/>
    <x v="7"/>
    <x v="7"/>
    <x v="1"/>
    <n v="726600"/>
    <n v="683004"/>
    <n v="143244"/>
    <n v="0.20972644376899696"/>
    <x v="0"/>
  </r>
  <r>
    <n v="305"/>
    <x v="0"/>
    <x v="2"/>
    <x v="1"/>
    <x v="2"/>
    <n v="1757"/>
    <n v="5"/>
    <n v="20"/>
    <n v="2108.4"/>
    <n v="17570"/>
    <x v="7"/>
    <n v="10"/>
    <x v="7"/>
    <x v="7"/>
    <x v="1"/>
    <n v="35140"/>
    <n v="33031.599999999999"/>
    <n v="15461.599999999999"/>
    <n v="0.46808510638297868"/>
    <x v="0"/>
  </r>
  <r>
    <n v="306"/>
    <x v="1"/>
    <x v="4"/>
    <x v="2"/>
    <x v="2"/>
    <n v="2198"/>
    <n v="10"/>
    <n v="15"/>
    <n v="1978.2"/>
    <n v="21980"/>
    <x v="5"/>
    <n v="8"/>
    <x v="5"/>
    <x v="5"/>
    <x v="0"/>
    <n v="32970"/>
    <n v="30991.8"/>
    <n v="9011.7999999999993"/>
    <n v="0.29078014184397161"/>
    <x v="0"/>
  </r>
  <r>
    <n v="307"/>
    <x v="1"/>
    <x v="1"/>
    <x v="2"/>
    <x v="2"/>
    <n v="1743"/>
    <n v="10"/>
    <n v="15"/>
    <n v="1568.7"/>
    <n v="17430"/>
    <x v="5"/>
    <n v="8"/>
    <x v="5"/>
    <x v="5"/>
    <x v="0"/>
    <n v="26145"/>
    <n v="24576.3"/>
    <n v="7146.2999999999993"/>
    <n v="0.29078014184397161"/>
    <x v="0"/>
  </r>
  <r>
    <n v="308"/>
    <x v="1"/>
    <x v="4"/>
    <x v="2"/>
    <x v="2"/>
    <n v="1153"/>
    <n v="10"/>
    <n v="15"/>
    <n v="1037.7"/>
    <n v="11530"/>
    <x v="10"/>
    <n v="10"/>
    <x v="7"/>
    <x v="7"/>
    <x v="0"/>
    <n v="17295"/>
    <n v="16257.3"/>
    <n v="4727.2999999999993"/>
    <n v="0.29078014184397161"/>
    <x v="0"/>
  </r>
  <r>
    <n v="309"/>
    <x v="0"/>
    <x v="2"/>
    <x v="2"/>
    <x v="2"/>
    <n v="1757"/>
    <n v="10"/>
    <n v="20"/>
    <n v="2108.4"/>
    <n v="17570"/>
    <x v="7"/>
    <n v="10"/>
    <x v="7"/>
    <x v="7"/>
    <x v="1"/>
    <n v="35140"/>
    <n v="33031.599999999999"/>
    <n v="15461.599999999999"/>
    <n v="0.46808510638297868"/>
    <x v="0"/>
  </r>
  <r>
    <n v="310"/>
    <x v="0"/>
    <x v="1"/>
    <x v="3"/>
    <x v="2"/>
    <n v="1001"/>
    <n v="120"/>
    <n v="20"/>
    <n v="1201.2"/>
    <n v="10010"/>
    <x v="5"/>
    <n v="8"/>
    <x v="5"/>
    <x v="5"/>
    <x v="0"/>
    <n v="20020"/>
    <n v="18818.8"/>
    <n v="8808.7999999999993"/>
    <n v="0.46808510638297868"/>
    <x v="0"/>
  </r>
  <r>
    <n v="311"/>
    <x v="0"/>
    <x v="3"/>
    <x v="3"/>
    <x v="2"/>
    <n v="1333"/>
    <n v="120"/>
    <n v="7"/>
    <n v="559.86"/>
    <n v="6665"/>
    <x v="15"/>
    <n v="11"/>
    <x v="9"/>
    <x v="9"/>
    <x v="0"/>
    <n v="9331"/>
    <n v="8771.14"/>
    <n v="2106.1399999999994"/>
    <n v="0.24012158054711241"/>
    <x v="0"/>
  </r>
  <r>
    <n v="312"/>
    <x v="1"/>
    <x v="4"/>
    <x v="4"/>
    <x v="2"/>
    <n v="1153"/>
    <n v="250"/>
    <n v="15"/>
    <n v="1037.7"/>
    <n v="11530"/>
    <x v="10"/>
    <n v="10"/>
    <x v="7"/>
    <x v="7"/>
    <x v="0"/>
    <n v="17295"/>
    <n v="16257.3"/>
    <n v="4727.2999999999993"/>
    <n v="0.29078014184397161"/>
    <x v="0"/>
  </r>
  <r>
    <n v="313"/>
    <x v="2"/>
    <x v="3"/>
    <x v="0"/>
    <x v="2"/>
    <n v="727"/>
    <n v="3"/>
    <n v="12"/>
    <n v="610.67999999999995"/>
    <n v="2181"/>
    <x v="8"/>
    <n v="2"/>
    <x v="8"/>
    <x v="8"/>
    <x v="0"/>
    <n v="8724"/>
    <n v="8113.32"/>
    <n v="5932.32"/>
    <n v="0.73118279569892475"/>
    <x v="0"/>
  </r>
  <r>
    <n v="314"/>
    <x v="2"/>
    <x v="0"/>
    <x v="0"/>
    <x v="2"/>
    <n v="1884"/>
    <n v="3"/>
    <n v="12"/>
    <n v="1582.56"/>
    <n v="5652"/>
    <x v="5"/>
    <n v="8"/>
    <x v="5"/>
    <x v="5"/>
    <x v="0"/>
    <n v="22608"/>
    <n v="21025.439999999999"/>
    <n v="15373.439999999999"/>
    <n v="0.73118279569892475"/>
    <x v="0"/>
  </r>
  <r>
    <n v="315"/>
    <x v="0"/>
    <x v="3"/>
    <x v="0"/>
    <x v="2"/>
    <n v="1834"/>
    <n v="3"/>
    <n v="20"/>
    <n v="2567.6"/>
    <n v="18340"/>
    <x v="9"/>
    <n v="9"/>
    <x v="6"/>
    <x v="6"/>
    <x v="1"/>
    <n v="36680"/>
    <n v="34112.400000000001"/>
    <n v="15772.400000000001"/>
    <n v="0.4623655913978495"/>
    <x v="0"/>
  </r>
  <r>
    <n v="316"/>
    <x v="2"/>
    <x v="3"/>
    <x v="1"/>
    <x v="2"/>
    <n v="2340"/>
    <n v="5"/>
    <n v="12"/>
    <n v="1965.6"/>
    <n v="7020"/>
    <x v="0"/>
    <n v="1"/>
    <x v="0"/>
    <x v="0"/>
    <x v="0"/>
    <n v="28080"/>
    <n v="26114.400000000001"/>
    <n v="19094.400000000001"/>
    <n v="0.73118279569892475"/>
    <x v="0"/>
  </r>
  <r>
    <n v="317"/>
    <x v="2"/>
    <x v="2"/>
    <x v="1"/>
    <x v="2"/>
    <n v="2342"/>
    <n v="5"/>
    <n v="12"/>
    <n v="1967.28"/>
    <n v="7026"/>
    <x v="15"/>
    <n v="11"/>
    <x v="9"/>
    <x v="9"/>
    <x v="0"/>
    <n v="28104"/>
    <n v="26136.720000000001"/>
    <n v="19110.72"/>
    <n v="0.73118279569892475"/>
    <x v="0"/>
  </r>
  <r>
    <n v="318"/>
    <x v="0"/>
    <x v="2"/>
    <x v="2"/>
    <x v="2"/>
    <n v="1031"/>
    <n v="10"/>
    <n v="7"/>
    <n v="505.19"/>
    <n v="5155"/>
    <x v="9"/>
    <n v="9"/>
    <x v="6"/>
    <x v="6"/>
    <x v="1"/>
    <n v="7217"/>
    <n v="6711.81"/>
    <n v="1556.8100000000004"/>
    <n v="0.23195084485407072"/>
    <x v="0"/>
  </r>
  <r>
    <n v="319"/>
    <x v="1"/>
    <x v="0"/>
    <x v="3"/>
    <x v="2"/>
    <n v="1262"/>
    <n v="120"/>
    <n v="15"/>
    <n v="1325.1"/>
    <n v="12620"/>
    <x v="14"/>
    <n v="5"/>
    <x v="11"/>
    <x v="11"/>
    <x v="0"/>
    <n v="18930"/>
    <n v="17604.900000000001"/>
    <n v="4984.9000000000015"/>
    <n v="0.28315412186379935"/>
    <x v="0"/>
  </r>
  <r>
    <n v="320"/>
    <x v="0"/>
    <x v="0"/>
    <x v="3"/>
    <x v="2"/>
    <n v="1135"/>
    <n v="120"/>
    <n v="7"/>
    <n v="556.15"/>
    <n v="5675"/>
    <x v="1"/>
    <n v="6"/>
    <x v="1"/>
    <x v="1"/>
    <x v="0"/>
    <n v="7945"/>
    <n v="7388.85"/>
    <n v="1713.8500000000004"/>
    <n v="0.23195084485407069"/>
    <x v="0"/>
  </r>
  <r>
    <n v="321"/>
    <x v="0"/>
    <x v="4"/>
    <x v="3"/>
    <x v="2"/>
    <n v="547"/>
    <n v="120"/>
    <n v="7"/>
    <n v="268.02999999999997"/>
    <n v="2735"/>
    <x v="15"/>
    <n v="11"/>
    <x v="9"/>
    <x v="9"/>
    <x v="0"/>
    <n v="3829"/>
    <n v="3560.9700000000003"/>
    <n v="825.97000000000025"/>
    <n v="0.23195084485407072"/>
    <x v="0"/>
  </r>
  <r>
    <n v="322"/>
    <x v="0"/>
    <x v="0"/>
    <x v="3"/>
    <x v="2"/>
    <n v="1582"/>
    <n v="120"/>
    <n v="7"/>
    <n v="775.18"/>
    <n v="7910"/>
    <x v="2"/>
    <n v="12"/>
    <x v="2"/>
    <x v="2"/>
    <x v="0"/>
    <n v="11074"/>
    <n v="10298.82"/>
    <n v="2388.8199999999997"/>
    <n v="0.23195084485407064"/>
    <x v="0"/>
  </r>
  <r>
    <n v="323"/>
    <x v="2"/>
    <x v="2"/>
    <x v="4"/>
    <x v="2"/>
    <n v="1738.5"/>
    <n v="250"/>
    <n v="12"/>
    <n v="1460.34"/>
    <n v="5215.5"/>
    <x v="13"/>
    <n v="4"/>
    <x v="10"/>
    <x v="10"/>
    <x v="0"/>
    <n v="20862"/>
    <n v="19401.66"/>
    <n v="14186.16"/>
    <n v="0.73118279569892475"/>
    <x v="0"/>
  </r>
  <r>
    <n v="324"/>
    <x v="2"/>
    <x v="1"/>
    <x v="4"/>
    <x v="2"/>
    <n v="2215"/>
    <n v="250"/>
    <n v="12"/>
    <n v="1860.6"/>
    <n v="6645"/>
    <x v="9"/>
    <n v="9"/>
    <x v="6"/>
    <x v="6"/>
    <x v="1"/>
    <n v="26580"/>
    <n v="24719.4"/>
    <n v="18074.400000000001"/>
    <n v="0.73118279569892475"/>
    <x v="0"/>
  </r>
  <r>
    <n v="325"/>
    <x v="0"/>
    <x v="0"/>
    <x v="4"/>
    <x v="2"/>
    <n v="1582"/>
    <n v="250"/>
    <n v="7"/>
    <n v="775.18"/>
    <n v="7910"/>
    <x v="2"/>
    <n v="12"/>
    <x v="2"/>
    <x v="2"/>
    <x v="0"/>
    <n v="11074"/>
    <n v="10298.82"/>
    <n v="2388.8199999999997"/>
    <n v="0.23195084485407064"/>
    <x v="0"/>
  </r>
  <r>
    <n v="326"/>
    <x v="0"/>
    <x v="0"/>
    <x v="5"/>
    <x v="2"/>
    <n v="1135"/>
    <n v="260"/>
    <n v="7"/>
    <n v="556.15"/>
    <n v="5675"/>
    <x v="1"/>
    <n v="6"/>
    <x v="1"/>
    <x v="1"/>
    <x v="0"/>
    <n v="7945"/>
    <n v="7388.85"/>
    <n v="1713.8500000000004"/>
    <n v="0.23195084485407069"/>
    <x v="0"/>
  </r>
  <r>
    <n v="327"/>
    <x v="0"/>
    <x v="4"/>
    <x v="0"/>
    <x v="2"/>
    <n v="1761"/>
    <n v="3"/>
    <n v="350"/>
    <n v="43144.5"/>
    <n v="457860"/>
    <x v="3"/>
    <n v="3"/>
    <x v="3"/>
    <x v="3"/>
    <x v="0"/>
    <n v="616350"/>
    <n v="573205.5"/>
    <n v="115345.5"/>
    <n v="0.20122887864823349"/>
    <x v="0"/>
  </r>
  <r>
    <n v="328"/>
    <x v="4"/>
    <x v="2"/>
    <x v="0"/>
    <x v="2"/>
    <n v="448"/>
    <n v="3"/>
    <n v="300"/>
    <n v="9408"/>
    <n v="112000"/>
    <x v="1"/>
    <n v="6"/>
    <x v="1"/>
    <x v="1"/>
    <x v="0"/>
    <n v="134400"/>
    <n v="124992"/>
    <n v="12992"/>
    <n v="0.1039426523297491"/>
    <x v="2"/>
  </r>
  <r>
    <n v="329"/>
    <x v="4"/>
    <x v="2"/>
    <x v="0"/>
    <x v="2"/>
    <n v="2181"/>
    <n v="3"/>
    <n v="300"/>
    <n v="45801"/>
    <n v="545250"/>
    <x v="10"/>
    <n v="10"/>
    <x v="7"/>
    <x v="7"/>
    <x v="0"/>
    <n v="654300"/>
    <n v="608499"/>
    <n v="63249"/>
    <n v="0.1039426523297491"/>
    <x v="2"/>
  </r>
  <r>
    <n v="330"/>
    <x v="0"/>
    <x v="2"/>
    <x v="1"/>
    <x v="2"/>
    <n v="1976"/>
    <n v="5"/>
    <n v="20"/>
    <n v="2766.4"/>
    <n v="19760"/>
    <x v="10"/>
    <n v="10"/>
    <x v="7"/>
    <x v="7"/>
    <x v="0"/>
    <n v="39520"/>
    <n v="36753.599999999999"/>
    <n v="16993.599999999999"/>
    <n v="0.46236559139784944"/>
    <x v="0"/>
  </r>
  <r>
    <n v="331"/>
    <x v="4"/>
    <x v="2"/>
    <x v="1"/>
    <x v="2"/>
    <n v="2181"/>
    <n v="5"/>
    <n v="300"/>
    <n v="45801"/>
    <n v="545250"/>
    <x v="10"/>
    <n v="10"/>
    <x v="7"/>
    <x v="7"/>
    <x v="0"/>
    <n v="654300"/>
    <n v="608499"/>
    <n v="63249"/>
    <n v="0.1039426523297491"/>
    <x v="2"/>
  </r>
  <r>
    <n v="332"/>
    <x v="3"/>
    <x v="1"/>
    <x v="1"/>
    <x v="2"/>
    <n v="2500"/>
    <n v="5"/>
    <n v="125"/>
    <n v="21875"/>
    <n v="300000"/>
    <x v="11"/>
    <n v="11"/>
    <x v="9"/>
    <x v="9"/>
    <x v="1"/>
    <n v="312500"/>
    <n v="290625"/>
    <n v="-9375"/>
    <n v="-3.2258064516129031E-2"/>
    <x v="3"/>
  </r>
  <r>
    <n v="333"/>
    <x v="4"/>
    <x v="0"/>
    <x v="2"/>
    <x v="2"/>
    <n v="1702"/>
    <n v="10"/>
    <n v="300"/>
    <n v="35742"/>
    <n v="425500"/>
    <x v="14"/>
    <n v="5"/>
    <x v="11"/>
    <x v="11"/>
    <x v="0"/>
    <n v="510600"/>
    <n v="474858"/>
    <n v="49358"/>
    <n v="0.1039426523297491"/>
    <x v="2"/>
  </r>
  <r>
    <n v="334"/>
    <x v="4"/>
    <x v="2"/>
    <x v="2"/>
    <x v="2"/>
    <n v="448"/>
    <n v="10"/>
    <n v="300"/>
    <n v="9408"/>
    <n v="112000"/>
    <x v="1"/>
    <n v="6"/>
    <x v="1"/>
    <x v="1"/>
    <x v="0"/>
    <n v="134400"/>
    <n v="124992"/>
    <n v="12992"/>
    <n v="0.1039426523297491"/>
    <x v="2"/>
  </r>
  <r>
    <n v="335"/>
    <x v="3"/>
    <x v="1"/>
    <x v="2"/>
    <x v="2"/>
    <n v="3513"/>
    <n v="10"/>
    <n v="125"/>
    <n v="30738.75"/>
    <n v="421560"/>
    <x v="4"/>
    <n v="7"/>
    <x v="4"/>
    <x v="4"/>
    <x v="0"/>
    <n v="439125"/>
    <n v="408386.25"/>
    <n v="-13173.75"/>
    <n v="-3.2258064516129031E-2"/>
    <x v="3"/>
  </r>
  <r>
    <n v="336"/>
    <x v="1"/>
    <x v="2"/>
    <x v="2"/>
    <x v="2"/>
    <n v="2101"/>
    <n v="10"/>
    <n v="15"/>
    <n v="2206.0500000000002"/>
    <n v="21010"/>
    <x v="5"/>
    <n v="8"/>
    <x v="5"/>
    <x v="5"/>
    <x v="0"/>
    <n v="31515"/>
    <n v="29308.95"/>
    <n v="8298.9500000000007"/>
    <n v="0.28315412186379929"/>
    <x v="0"/>
  </r>
  <r>
    <n v="337"/>
    <x v="1"/>
    <x v="4"/>
    <x v="2"/>
    <x v="2"/>
    <n v="2931"/>
    <n v="10"/>
    <n v="15"/>
    <n v="3077.55"/>
    <n v="29310"/>
    <x v="9"/>
    <n v="9"/>
    <x v="6"/>
    <x v="6"/>
    <x v="1"/>
    <n v="43965"/>
    <n v="40887.449999999997"/>
    <n v="11577.449999999997"/>
    <n v="0.28315412186379924"/>
    <x v="0"/>
  </r>
  <r>
    <n v="338"/>
    <x v="0"/>
    <x v="2"/>
    <x v="2"/>
    <x v="2"/>
    <n v="1535"/>
    <n v="10"/>
    <n v="20"/>
    <n v="2149"/>
    <n v="15350"/>
    <x v="6"/>
    <n v="9"/>
    <x v="6"/>
    <x v="6"/>
    <x v="0"/>
    <n v="30700"/>
    <n v="28551"/>
    <n v="13201"/>
    <n v="0.46236559139784944"/>
    <x v="0"/>
  </r>
  <r>
    <n v="339"/>
    <x v="4"/>
    <x v="1"/>
    <x v="2"/>
    <x v="2"/>
    <n v="1123"/>
    <n v="10"/>
    <n v="300"/>
    <n v="23583"/>
    <n v="280750"/>
    <x v="9"/>
    <n v="9"/>
    <x v="6"/>
    <x v="6"/>
    <x v="1"/>
    <n v="336900"/>
    <n v="313317"/>
    <n v="32567"/>
    <n v="0.1039426523297491"/>
    <x v="2"/>
  </r>
  <r>
    <n v="340"/>
    <x v="4"/>
    <x v="0"/>
    <x v="2"/>
    <x v="2"/>
    <n v="1404"/>
    <n v="10"/>
    <n v="300"/>
    <n v="29484"/>
    <n v="351000"/>
    <x v="11"/>
    <n v="11"/>
    <x v="9"/>
    <x v="9"/>
    <x v="1"/>
    <n v="421200"/>
    <n v="391716"/>
    <n v="40716"/>
    <n v="0.1039426523297491"/>
    <x v="2"/>
  </r>
  <r>
    <n v="341"/>
    <x v="2"/>
    <x v="3"/>
    <x v="2"/>
    <x v="2"/>
    <n v="2763"/>
    <n v="10"/>
    <n v="12"/>
    <n v="2320.92"/>
    <n v="8289"/>
    <x v="11"/>
    <n v="11"/>
    <x v="9"/>
    <x v="9"/>
    <x v="1"/>
    <n v="33156"/>
    <n v="30835.08"/>
    <n v="22546.080000000002"/>
    <n v="0.73118279569892475"/>
    <x v="0"/>
  </r>
  <r>
    <n v="342"/>
    <x v="0"/>
    <x v="1"/>
    <x v="2"/>
    <x v="2"/>
    <n v="2125"/>
    <n v="10"/>
    <n v="7"/>
    <n v="1041.25"/>
    <n v="10625"/>
    <x v="12"/>
    <n v="12"/>
    <x v="2"/>
    <x v="2"/>
    <x v="1"/>
    <n v="14875"/>
    <n v="13833.75"/>
    <n v="3208.75"/>
    <n v="0.23195084485407066"/>
    <x v="0"/>
  </r>
  <r>
    <n v="343"/>
    <x v="4"/>
    <x v="2"/>
    <x v="3"/>
    <x v="2"/>
    <n v="1659"/>
    <n v="120"/>
    <n v="300"/>
    <n v="34839"/>
    <n v="414750"/>
    <x v="4"/>
    <n v="7"/>
    <x v="4"/>
    <x v="4"/>
    <x v="0"/>
    <n v="497700"/>
    <n v="462861"/>
    <n v="48111"/>
    <n v="0.1039426523297491"/>
    <x v="2"/>
  </r>
  <r>
    <n v="344"/>
    <x v="0"/>
    <x v="3"/>
    <x v="3"/>
    <x v="2"/>
    <n v="609"/>
    <n v="120"/>
    <n v="20"/>
    <n v="852.6"/>
    <n v="6090"/>
    <x v="5"/>
    <n v="8"/>
    <x v="5"/>
    <x v="5"/>
    <x v="0"/>
    <n v="12180"/>
    <n v="11327.4"/>
    <n v="5237.3999999999996"/>
    <n v="0.46236559139784944"/>
    <x v="0"/>
  </r>
  <r>
    <n v="345"/>
    <x v="3"/>
    <x v="1"/>
    <x v="3"/>
    <x v="2"/>
    <n v="2087"/>
    <n v="120"/>
    <n v="125"/>
    <n v="18261.25"/>
    <n v="250440"/>
    <x v="6"/>
    <n v="9"/>
    <x v="6"/>
    <x v="6"/>
    <x v="0"/>
    <n v="260875"/>
    <n v="242613.75"/>
    <n v="-7826.25"/>
    <n v="-3.2258064516129031E-2"/>
    <x v="3"/>
  </r>
  <r>
    <n v="346"/>
    <x v="0"/>
    <x v="2"/>
    <x v="3"/>
    <x v="2"/>
    <n v="1976"/>
    <n v="120"/>
    <n v="20"/>
    <n v="2766.4"/>
    <n v="19760"/>
    <x v="10"/>
    <n v="10"/>
    <x v="7"/>
    <x v="7"/>
    <x v="0"/>
    <n v="39520"/>
    <n v="36753.599999999999"/>
    <n v="16993.599999999999"/>
    <n v="0.46236559139784944"/>
    <x v="0"/>
  </r>
  <r>
    <n v="347"/>
    <x v="0"/>
    <x v="4"/>
    <x v="3"/>
    <x v="2"/>
    <n v="1421"/>
    <n v="120"/>
    <n v="20"/>
    <n v="1989.4"/>
    <n v="14210"/>
    <x v="12"/>
    <n v="12"/>
    <x v="2"/>
    <x v="2"/>
    <x v="1"/>
    <n v="28420"/>
    <n v="26430.6"/>
    <n v="12220.599999999999"/>
    <n v="0.46236559139784944"/>
    <x v="0"/>
  </r>
  <r>
    <n v="348"/>
    <x v="4"/>
    <x v="4"/>
    <x v="3"/>
    <x v="2"/>
    <n v="1372"/>
    <n v="120"/>
    <n v="300"/>
    <n v="28812"/>
    <n v="343000"/>
    <x v="2"/>
    <n v="12"/>
    <x v="2"/>
    <x v="2"/>
    <x v="0"/>
    <n v="411600"/>
    <n v="382788"/>
    <n v="39788"/>
    <n v="0.1039426523297491"/>
    <x v="2"/>
  </r>
  <r>
    <n v="349"/>
    <x v="0"/>
    <x v="1"/>
    <x v="3"/>
    <x v="2"/>
    <n v="588"/>
    <n v="120"/>
    <n v="20"/>
    <n v="823.2"/>
    <n v="5880"/>
    <x v="12"/>
    <n v="12"/>
    <x v="2"/>
    <x v="2"/>
    <x v="1"/>
    <n v="11760"/>
    <n v="10936.8"/>
    <n v="5056.7999999999993"/>
    <n v="0.46236559139784944"/>
    <x v="0"/>
  </r>
  <r>
    <n v="350"/>
    <x v="2"/>
    <x v="0"/>
    <x v="4"/>
    <x v="2"/>
    <n v="3244.5"/>
    <n v="250"/>
    <n v="12"/>
    <n v="2725.38"/>
    <n v="9733.5"/>
    <x v="0"/>
    <n v="1"/>
    <x v="0"/>
    <x v="0"/>
    <x v="0"/>
    <n v="38934"/>
    <n v="36208.620000000003"/>
    <n v="26475.120000000003"/>
    <n v="0.73118279569892475"/>
    <x v="0"/>
  </r>
  <r>
    <n v="351"/>
    <x v="4"/>
    <x v="2"/>
    <x v="4"/>
    <x v="2"/>
    <n v="959"/>
    <n v="250"/>
    <n v="300"/>
    <n v="20139"/>
    <n v="239750"/>
    <x v="8"/>
    <n v="2"/>
    <x v="8"/>
    <x v="8"/>
    <x v="0"/>
    <n v="287700"/>
    <n v="267561"/>
    <n v="27811"/>
    <n v="0.1039426523297491"/>
    <x v="2"/>
  </r>
  <r>
    <n v="352"/>
    <x v="4"/>
    <x v="3"/>
    <x v="4"/>
    <x v="2"/>
    <n v="2747"/>
    <n v="250"/>
    <n v="300"/>
    <n v="57687"/>
    <n v="686750"/>
    <x v="8"/>
    <n v="2"/>
    <x v="8"/>
    <x v="8"/>
    <x v="0"/>
    <n v="824100"/>
    <n v="766413"/>
    <n v="79663"/>
    <n v="0.1039426523297491"/>
    <x v="2"/>
  </r>
  <r>
    <n v="353"/>
    <x v="3"/>
    <x v="0"/>
    <x v="5"/>
    <x v="2"/>
    <n v="1645"/>
    <n v="260"/>
    <n v="125"/>
    <n v="14393.75"/>
    <n v="197400"/>
    <x v="14"/>
    <n v="5"/>
    <x v="11"/>
    <x v="11"/>
    <x v="0"/>
    <n v="205625"/>
    <n v="191231.25"/>
    <n v="-6168.75"/>
    <n v="-3.2258064516129031E-2"/>
    <x v="3"/>
  </r>
  <r>
    <n v="354"/>
    <x v="0"/>
    <x v="2"/>
    <x v="5"/>
    <x v="2"/>
    <n v="2876"/>
    <n v="260"/>
    <n v="350"/>
    <n v="70462"/>
    <n v="747760"/>
    <x v="6"/>
    <n v="9"/>
    <x v="6"/>
    <x v="6"/>
    <x v="0"/>
    <n v="1006600"/>
    <n v="936138"/>
    <n v="188378"/>
    <n v="0.20122887864823349"/>
    <x v="0"/>
  </r>
  <r>
    <n v="355"/>
    <x v="3"/>
    <x v="1"/>
    <x v="5"/>
    <x v="2"/>
    <n v="994"/>
    <n v="260"/>
    <n v="125"/>
    <n v="8697.5"/>
    <n v="119280"/>
    <x v="9"/>
    <n v="9"/>
    <x v="6"/>
    <x v="6"/>
    <x v="1"/>
    <n v="124250"/>
    <n v="115552.5"/>
    <n v="-3727.5"/>
    <n v="-3.2258064516129031E-2"/>
    <x v="3"/>
  </r>
  <r>
    <n v="356"/>
    <x v="0"/>
    <x v="0"/>
    <x v="5"/>
    <x v="2"/>
    <n v="1118"/>
    <n v="260"/>
    <n v="20"/>
    <n v="1565.2"/>
    <n v="11180"/>
    <x v="15"/>
    <n v="11"/>
    <x v="9"/>
    <x v="9"/>
    <x v="0"/>
    <n v="22360"/>
    <n v="20794.8"/>
    <n v="9614.7999999999993"/>
    <n v="0.46236559139784944"/>
    <x v="0"/>
  </r>
  <r>
    <n v="357"/>
    <x v="4"/>
    <x v="4"/>
    <x v="5"/>
    <x v="2"/>
    <n v="1372"/>
    <n v="260"/>
    <n v="300"/>
    <n v="28812"/>
    <n v="343000"/>
    <x v="2"/>
    <n v="12"/>
    <x v="2"/>
    <x v="2"/>
    <x v="0"/>
    <n v="411600"/>
    <n v="382788"/>
    <n v="39788"/>
    <n v="0.1039426523297491"/>
    <x v="2"/>
  </r>
  <r>
    <n v="358"/>
    <x v="0"/>
    <x v="0"/>
    <x v="1"/>
    <x v="2"/>
    <n v="488"/>
    <n v="5"/>
    <n v="7"/>
    <n v="273.27999999999997"/>
    <n v="2440"/>
    <x v="8"/>
    <n v="2"/>
    <x v="8"/>
    <x v="8"/>
    <x v="0"/>
    <n v="3416"/>
    <n v="3142.7200000000003"/>
    <n v="702.72000000000025"/>
    <n v="0.22360248447204975"/>
    <x v="0"/>
  </r>
  <r>
    <n v="359"/>
    <x v="0"/>
    <x v="4"/>
    <x v="1"/>
    <x v="2"/>
    <n v="1282"/>
    <n v="5"/>
    <n v="20"/>
    <n v="2051.1999999999998"/>
    <n v="12820"/>
    <x v="1"/>
    <n v="6"/>
    <x v="1"/>
    <x v="1"/>
    <x v="0"/>
    <n v="25640"/>
    <n v="23588.799999999999"/>
    <n v="10768.8"/>
    <n v="0.45652173913043476"/>
    <x v="0"/>
  </r>
  <r>
    <n v="360"/>
    <x v="0"/>
    <x v="0"/>
    <x v="2"/>
    <x v="2"/>
    <n v="257"/>
    <n v="10"/>
    <n v="7"/>
    <n v="143.91999999999999"/>
    <n v="1285"/>
    <x v="14"/>
    <n v="5"/>
    <x v="11"/>
    <x v="11"/>
    <x v="0"/>
    <n v="1799"/>
    <n v="1655.08"/>
    <n v="370.07999999999993"/>
    <n v="0.22360248447204967"/>
    <x v="0"/>
  </r>
  <r>
    <n v="361"/>
    <x v="0"/>
    <x v="4"/>
    <x v="5"/>
    <x v="2"/>
    <n v="1282"/>
    <n v="260"/>
    <n v="20"/>
    <n v="2051.1999999999998"/>
    <n v="12820"/>
    <x v="1"/>
    <n v="6"/>
    <x v="1"/>
    <x v="1"/>
    <x v="0"/>
    <n v="25640"/>
    <n v="23588.799999999999"/>
    <n v="10768.8"/>
    <n v="0.45652173913043476"/>
    <x v="0"/>
  </r>
  <r>
    <n v="362"/>
    <x v="3"/>
    <x v="3"/>
    <x v="0"/>
    <x v="2"/>
    <n v="1540"/>
    <n v="3"/>
    <n v="125"/>
    <n v="15400"/>
    <n v="184800"/>
    <x v="5"/>
    <n v="8"/>
    <x v="5"/>
    <x v="5"/>
    <x v="0"/>
    <n v="192500"/>
    <n v="177100"/>
    <n v="-7700"/>
    <n v="-4.3478260869565216E-2"/>
    <x v="3"/>
  </r>
  <r>
    <n v="363"/>
    <x v="1"/>
    <x v="2"/>
    <x v="0"/>
    <x v="2"/>
    <n v="490"/>
    <n v="3"/>
    <n v="15"/>
    <n v="588"/>
    <n v="4900"/>
    <x v="15"/>
    <n v="11"/>
    <x v="9"/>
    <x v="9"/>
    <x v="0"/>
    <n v="7350"/>
    <n v="6762"/>
    <n v="1862"/>
    <n v="0.27536231884057971"/>
    <x v="0"/>
  </r>
  <r>
    <n v="364"/>
    <x v="0"/>
    <x v="3"/>
    <x v="0"/>
    <x v="2"/>
    <n v="1362"/>
    <n v="3"/>
    <n v="350"/>
    <n v="38136"/>
    <n v="354120"/>
    <x v="2"/>
    <n v="12"/>
    <x v="2"/>
    <x v="2"/>
    <x v="0"/>
    <n v="476700"/>
    <n v="438564"/>
    <n v="84444"/>
    <n v="0.19254658385093168"/>
    <x v="2"/>
  </r>
  <r>
    <n v="365"/>
    <x v="1"/>
    <x v="2"/>
    <x v="1"/>
    <x v="2"/>
    <n v="2501"/>
    <n v="5"/>
    <n v="15"/>
    <n v="3001.2"/>
    <n v="25010"/>
    <x v="3"/>
    <n v="3"/>
    <x v="3"/>
    <x v="3"/>
    <x v="0"/>
    <n v="37515"/>
    <n v="34513.800000000003"/>
    <n v="9503.8000000000029"/>
    <n v="0.27536231884057977"/>
    <x v="0"/>
  </r>
  <r>
    <n v="366"/>
    <x v="0"/>
    <x v="0"/>
    <x v="1"/>
    <x v="2"/>
    <n v="708"/>
    <n v="5"/>
    <n v="20"/>
    <n v="1132.8"/>
    <n v="7080"/>
    <x v="1"/>
    <n v="6"/>
    <x v="1"/>
    <x v="1"/>
    <x v="0"/>
    <n v="14160"/>
    <n v="13027.2"/>
    <n v="5947.2000000000007"/>
    <n v="0.45652173913043481"/>
    <x v="0"/>
  </r>
  <r>
    <n v="367"/>
    <x v="0"/>
    <x v="1"/>
    <x v="1"/>
    <x v="2"/>
    <n v="645"/>
    <n v="5"/>
    <n v="20"/>
    <n v="1032"/>
    <n v="6450"/>
    <x v="4"/>
    <n v="7"/>
    <x v="4"/>
    <x v="4"/>
    <x v="0"/>
    <n v="12900"/>
    <n v="11868"/>
    <n v="5418"/>
    <n v="0.45652173913043476"/>
    <x v="0"/>
  </r>
  <r>
    <n v="368"/>
    <x v="4"/>
    <x v="2"/>
    <x v="1"/>
    <x v="2"/>
    <n v="1562"/>
    <n v="5"/>
    <n v="300"/>
    <n v="37488"/>
    <n v="390500"/>
    <x v="5"/>
    <n v="8"/>
    <x v="5"/>
    <x v="5"/>
    <x v="0"/>
    <n v="468600"/>
    <n v="431112"/>
    <n v="40612"/>
    <n v="9.420289855072464E-2"/>
    <x v="1"/>
  </r>
  <r>
    <n v="369"/>
    <x v="4"/>
    <x v="0"/>
    <x v="1"/>
    <x v="2"/>
    <n v="1283"/>
    <n v="5"/>
    <n v="300"/>
    <n v="30792"/>
    <n v="320750"/>
    <x v="9"/>
    <n v="9"/>
    <x v="6"/>
    <x v="6"/>
    <x v="1"/>
    <n v="384900"/>
    <n v="354108"/>
    <n v="33358"/>
    <n v="9.420289855072464E-2"/>
    <x v="1"/>
  </r>
  <r>
    <n v="370"/>
    <x v="1"/>
    <x v="1"/>
    <x v="1"/>
    <x v="2"/>
    <n v="711"/>
    <n v="5"/>
    <n v="15"/>
    <n v="853.2"/>
    <n v="7110"/>
    <x v="2"/>
    <n v="12"/>
    <x v="2"/>
    <x v="2"/>
    <x v="0"/>
    <n v="10665"/>
    <n v="9811.7999999999993"/>
    <n v="2701.7999999999993"/>
    <n v="0.27536231884057966"/>
    <x v="0"/>
  </r>
  <r>
    <n v="371"/>
    <x v="3"/>
    <x v="3"/>
    <x v="2"/>
    <x v="2"/>
    <n v="1114"/>
    <n v="10"/>
    <n v="125"/>
    <n v="11140"/>
    <n v="133680"/>
    <x v="3"/>
    <n v="3"/>
    <x v="3"/>
    <x v="3"/>
    <x v="0"/>
    <n v="139250"/>
    <n v="128110"/>
    <n v="-5570"/>
    <n v="-4.3478260869565216E-2"/>
    <x v="3"/>
  </r>
  <r>
    <n v="372"/>
    <x v="0"/>
    <x v="1"/>
    <x v="2"/>
    <x v="2"/>
    <n v="1259"/>
    <n v="10"/>
    <n v="7"/>
    <n v="705.04"/>
    <n v="6295"/>
    <x v="13"/>
    <n v="4"/>
    <x v="10"/>
    <x v="10"/>
    <x v="0"/>
    <n v="8813"/>
    <n v="8107.96"/>
    <n v="1812.96"/>
    <n v="0.2236024844720497"/>
    <x v="0"/>
  </r>
  <r>
    <n v="373"/>
    <x v="0"/>
    <x v="1"/>
    <x v="2"/>
    <x v="2"/>
    <n v="1095"/>
    <n v="10"/>
    <n v="7"/>
    <n v="613.20000000000005"/>
    <n v="5475"/>
    <x v="14"/>
    <n v="5"/>
    <x v="11"/>
    <x v="11"/>
    <x v="0"/>
    <n v="7665"/>
    <n v="7051.8"/>
    <n v="1576.8000000000002"/>
    <n v="0.22360248447204972"/>
    <x v="0"/>
  </r>
  <r>
    <n v="374"/>
    <x v="0"/>
    <x v="1"/>
    <x v="2"/>
    <x v="2"/>
    <n v="1366"/>
    <n v="10"/>
    <n v="20"/>
    <n v="2185.6"/>
    <n v="13660"/>
    <x v="1"/>
    <n v="6"/>
    <x v="1"/>
    <x v="1"/>
    <x v="0"/>
    <n v="27320"/>
    <n v="25134.400000000001"/>
    <n v="11474.400000000001"/>
    <n v="0.45652173913043481"/>
    <x v="0"/>
  </r>
  <r>
    <n v="375"/>
    <x v="4"/>
    <x v="3"/>
    <x v="2"/>
    <x v="2"/>
    <n v="2460"/>
    <n v="10"/>
    <n v="300"/>
    <n v="59040"/>
    <n v="615000"/>
    <x v="1"/>
    <n v="6"/>
    <x v="1"/>
    <x v="1"/>
    <x v="0"/>
    <n v="738000"/>
    <n v="678960"/>
    <n v="63960"/>
    <n v="9.420289855072464E-2"/>
    <x v="1"/>
  </r>
  <r>
    <n v="376"/>
    <x v="0"/>
    <x v="4"/>
    <x v="2"/>
    <x v="2"/>
    <n v="678"/>
    <n v="10"/>
    <n v="7"/>
    <n v="379.68"/>
    <n v="3390"/>
    <x v="5"/>
    <n v="8"/>
    <x v="5"/>
    <x v="5"/>
    <x v="0"/>
    <n v="4746"/>
    <n v="4366.32"/>
    <n v="976.31999999999971"/>
    <n v="0.22360248447204964"/>
    <x v="0"/>
  </r>
  <r>
    <n v="377"/>
    <x v="0"/>
    <x v="1"/>
    <x v="2"/>
    <x v="2"/>
    <n v="1598"/>
    <n v="10"/>
    <n v="7"/>
    <n v="894.88"/>
    <n v="7990"/>
    <x v="5"/>
    <n v="8"/>
    <x v="5"/>
    <x v="5"/>
    <x v="0"/>
    <n v="11186"/>
    <n v="10291.120000000001"/>
    <n v="2301.1200000000008"/>
    <n v="0.22360248447204975"/>
    <x v="0"/>
  </r>
  <r>
    <n v="378"/>
    <x v="0"/>
    <x v="1"/>
    <x v="2"/>
    <x v="2"/>
    <n v="2409"/>
    <n v="10"/>
    <n v="7"/>
    <n v="1349.04"/>
    <n v="12045"/>
    <x v="9"/>
    <n v="9"/>
    <x v="6"/>
    <x v="6"/>
    <x v="1"/>
    <n v="16863"/>
    <n v="15513.96"/>
    <n v="3468.9599999999991"/>
    <n v="0.22360248447204964"/>
    <x v="0"/>
  </r>
  <r>
    <n v="379"/>
    <x v="0"/>
    <x v="1"/>
    <x v="2"/>
    <x v="2"/>
    <n v="1934"/>
    <n v="10"/>
    <n v="20"/>
    <n v="3094.4"/>
    <n v="19340"/>
    <x v="6"/>
    <n v="9"/>
    <x v="6"/>
    <x v="6"/>
    <x v="0"/>
    <n v="38680"/>
    <n v="35585.599999999999"/>
    <n v="16245.599999999999"/>
    <n v="0.45652173913043476"/>
    <x v="0"/>
  </r>
  <r>
    <n v="380"/>
    <x v="0"/>
    <x v="3"/>
    <x v="2"/>
    <x v="2"/>
    <n v="2993"/>
    <n v="10"/>
    <n v="20"/>
    <n v="4788.8"/>
    <n v="29930"/>
    <x v="6"/>
    <n v="9"/>
    <x v="6"/>
    <x v="6"/>
    <x v="0"/>
    <n v="59860"/>
    <n v="55071.199999999997"/>
    <n v="25141.199999999997"/>
    <n v="0.45652173913043476"/>
    <x v="0"/>
  </r>
  <r>
    <n v="381"/>
    <x v="0"/>
    <x v="1"/>
    <x v="2"/>
    <x v="2"/>
    <n v="2146"/>
    <n v="10"/>
    <n v="350"/>
    <n v="60088"/>
    <n v="557960"/>
    <x v="11"/>
    <n v="11"/>
    <x v="9"/>
    <x v="9"/>
    <x v="1"/>
    <n v="751100"/>
    <n v="691012"/>
    <n v="133052"/>
    <n v="0.19254658385093168"/>
    <x v="2"/>
  </r>
  <r>
    <n v="382"/>
    <x v="0"/>
    <x v="3"/>
    <x v="2"/>
    <x v="2"/>
    <n v="1946"/>
    <n v="10"/>
    <n v="7"/>
    <n v="1089.76"/>
    <n v="9730"/>
    <x v="12"/>
    <n v="12"/>
    <x v="2"/>
    <x v="2"/>
    <x v="1"/>
    <n v="13622"/>
    <n v="12532.24"/>
    <n v="2802.24"/>
    <n v="0.22360248447204967"/>
    <x v="0"/>
  </r>
  <r>
    <n v="383"/>
    <x v="0"/>
    <x v="3"/>
    <x v="2"/>
    <x v="2"/>
    <n v="1362"/>
    <n v="10"/>
    <n v="350"/>
    <n v="38136"/>
    <n v="354120"/>
    <x v="2"/>
    <n v="12"/>
    <x v="2"/>
    <x v="2"/>
    <x v="0"/>
    <n v="476700"/>
    <n v="438564"/>
    <n v="84444"/>
    <n v="0.19254658385093168"/>
    <x v="2"/>
  </r>
  <r>
    <n v="384"/>
    <x v="2"/>
    <x v="0"/>
    <x v="3"/>
    <x v="2"/>
    <n v="598"/>
    <n v="120"/>
    <n v="12"/>
    <n v="574.08000000000004"/>
    <n v="1794"/>
    <x v="3"/>
    <n v="3"/>
    <x v="3"/>
    <x v="3"/>
    <x v="0"/>
    <n v="7176"/>
    <n v="6601.92"/>
    <n v="4807.92"/>
    <n v="0.72826086956521741"/>
    <x v="0"/>
  </r>
  <r>
    <n v="385"/>
    <x v="0"/>
    <x v="4"/>
    <x v="3"/>
    <x v="2"/>
    <n v="2907"/>
    <n v="120"/>
    <n v="7"/>
    <n v="1627.92"/>
    <n v="14535"/>
    <x v="1"/>
    <n v="6"/>
    <x v="1"/>
    <x v="1"/>
    <x v="0"/>
    <n v="20349"/>
    <n v="18721.080000000002"/>
    <n v="4186.0800000000017"/>
    <n v="0.22360248447204975"/>
    <x v="0"/>
  </r>
  <r>
    <n v="386"/>
    <x v="0"/>
    <x v="1"/>
    <x v="3"/>
    <x v="2"/>
    <n v="2338"/>
    <n v="120"/>
    <n v="7"/>
    <n v="1309.28"/>
    <n v="11690"/>
    <x v="1"/>
    <n v="6"/>
    <x v="1"/>
    <x v="1"/>
    <x v="0"/>
    <n v="16366"/>
    <n v="15056.72"/>
    <n v="3366.7199999999993"/>
    <n v="0.22360248447204967"/>
    <x v="0"/>
  </r>
  <r>
    <n v="387"/>
    <x v="4"/>
    <x v="2"/>
    <x v="3"/>
    <x v="2"/>
    <n v="386"/>
    <n v="120"/>
    <n v="300"/>
    <n v="9264"/>
    <n v="96500"/>
    <x v="11"/>
    <n v="11"/>
    <x v="9"/>
    <x v="9"/>
    <x v="1"/>
    <n v="115800"/>
    <n v="106536"/>
    <n v="10036"/>
    <n v="9.420289855072464E-2"/>
    <x v="1"/>
  </r>
  <r>
    <n v="388"/>
    <x v="4"/>
    <x v="3"/>
    <x v="3"/>
    <x v="2"/>
    <n v="635"/>
    <n v="120"/>
    <n v="300"/>
    <n v="15240"/>
    <n v="158750"/>
    <x v="2"/>
    <n v="12"/>
    <x v="2"/>
    <x v="2"/>
    <x v="0"/>
    <n v="190500"/>
    <n v="175260"/>
    <n v="16510"/>
    <n v="9.420289855072464E-2"/>
    <x v="1"/>
  </r>
  <r>
    <n v="389"/>
    <x v="0"/>
    <x v="2"/>
    <x v="4"/>
    <x v="2"/>
    <n v="574.5"/>
    <n v="250"/>
    <n v="350"/>
    <n v="16086"/>
    <n v="149370"/>
    <x v="13"/>
    <n v="4"/>
    <x v="10"/>
    <x v="10"/>
    <x v="0"/>
    <n v="201075"/>
    <n v="184989"/>
    <n v="35619"/>
    <n v="0.19254658385093168"/>
    <x v="2"/>
  </r>
  <r>
    <n v="390"/>
    <x v="0"/>
    <x v="1"/>
    <x v="4"/>
    <x v="2"/>
    <n v="2338"/>
    <n v="250"/>
    <n v="7"/>
    <n v="1309.28"/>
    <n v="11690"/>
    <x v="1"/>
    <n v="6"/>
    <x v="1"/>
    <x v="1"/>
    <x v="0"/>
    <n v="16366"/>
    <n v="15056.72"/>
    <n v="3366.7199999999993"/>
    <n v="0.22360248447204967"/>
    <x v="0"/>
  </r>
  <r>
    <n v="391"/>
    <x v="0"/>
    <x v="2"/>
    <x v="4"/>
    <x v="2"/>
    <n v="381"/>
    <n v="250"/>
    <n v="350"/>
    <n v="10668"/>
    <n v="99060"/>
    <x v="5"/>
    <n v="8"/>
    <x v="5"/>
    <x v="5"/>
    <x v="0"/>
    <n v="133350"/>
    <n v="122682"/>
    <n v="23622"/>
    <n v="0.19254658385093168"/>
    <x v="2"/>
  </r>
  <r>
    <n v="392"/>
    <x v="0"/>
    <x v="1"/>
    <x v="4"/>
    <x v="2"/>
    <n v="422"/>
    <n v="250"/>
    <n v="350"/>
    <n v="11816"/>
    <n v="109720"/>
    <x v="5"/>
    <n v="8"/>
    <x v="5"/>
    <x v="5"/>
    <x v="0"/>
    <n v="147700"/>
    <n v="135884"/>
    <n v="26164"/>
    <n v="0.19254658385093168"/>
    <x v="2"/>
  </r>
  <r>
    <n v="393"/>
    <x v="4"/>
    <x v="0"/>
    <x v="4"/>
    <x v="2"/>
    <n v="2134"/>
    <n v="250"/>
    <n v="300"/>
    <n v="51216"/>
    <n v="533500"/>
    <x v="6"/>
    <n v="9"/>
    <x v="6"/>
    <x v="6"/>
    <x v="0"/>
    <n v="640200"/>
    <n v="588984"/>
    <n v="55484"/>
    <n v="9.420289855072464E-2"/>
    <x v="1"/>
  </r>
  <r>
    <n v="394"/>
    <x v="4"/>
    <x v="4"/>
    <x v="4"/>
    <x v="2"/>
    <n v="808"/>
    <n v="250"/>
    <n v="300"/>
    <n v="19392"/>
    <n v="202000"/>
    <x v="12"/>
    <n v="12"/>
    <x v="2"/>
    <x v="2"/>
    <x v="1"/>
    <n v="242400"/>
    <n v="223008"/>
    <n v="21008"/>
    <n v="9.420289855072464E-2"/>
    <x v="1"/>
  </r>
  <r>
    <n v="395"/>
    <x v="0"/>
    <x v="0"/>
    <x v="5"/>
    <x v="2"/>
    <n v="708"/>
    <n v="260"/>
    <n v="20"/>
    <n v="1132.8"/>
    <n v="7080"/>
    <x v="1"/>
    <n v="6"/>
    <x v="1"/>
    <x v="1"/>
    <x v="0"/>
    <n v="14160"/>
    <n v="13027.2"/>
    <n v="5947.2000000000007"/>
    <n v="0.45652173913043481"/>
    <x v="0"/>
  </r>
  <r>
    <n v="396"/>
    <x v="0"/>
    <x v="4"/>
    <x v="5"/>
    <x v="2"/>
    <n v="2907"/>
    <n v="260"/>
    <n v="7"/>
    <n v="1627.92"/>
    <n v="14535"/>
    <x v="1"/>
    <n v="6"/>
    <x v="1"/>
    <x v="1"/>
    <x v="0"/>
    <n v="20349"/>
    <n v="18721.080000000002"/>
    <n v="4186.0800000000017"/>
    <n v="0.22360248447204975"/>
    <x v="0"/>
  </r>
  <r>
    <n v="397"/>
    <x v="0"/>
    <x v="1"/>
    <x v="5"/>
    <x v="2"/>
    <n v="1366"/>
    <n v="260"/>
    <n v="20"/>
    <n v="2185.6"/>
    <n v="13660"/>
    <x v="1"/>
    <n v="6"/>
    <x v="1"/>
    <x v="1"/>
    <x v="0"/>
    <n v="27320"/>
    <n v="25134.400000000001"/>
    <n v="11474.400000000001"/>
    <n v="0.45652173913043481"/>
    <x v="0"/>
  </r>
  <r>
    <n v="398"/>
    <x v="4"/>
    <x v="3"/>
    <x v="5"/>
    <x v="2"/>
    <n v="2460"/>
    <n v="260"/>
    <n v="300"/>
    <n v="59040"/>
    <n v="615000"/>
    <x v="1"/>
    <n v="6"/>
    <x v="1"/>
    <x v="1"/>
    <x v="0"/>
    <n v="738000"/>
    <n v="678960"/>
    <n v="63960"/>
    <n v="9.420289855072464E-2"/>
    <x v="1"/>
  </r>
  <r>
    <n v="399"/>
    <x v="0"/>
    <x v="1"/>
    <x v="5"/>
    <x v="2"/>
    <n v="1520"/>
    <n v="260"/>
    <n v="20"/>
    <n v="2432"/>
    <n v="15200"/>
    <x v="15"/>
    <n v="11"/>
    <x v="9"/>
    <x v="9"/>
    <x v="0"/>
    <n v="30400"/>
    <n v="27968"/>
    <n v="12768"/>
    <n v="0.45652173913043476"/>
    <x v="0"/>
  </r>
  <r>
    <n v="400"/>
    <x v="1"/>
    <x v="1"/>
    <x v="5"/>
    <x v="2"/>
    <n v="711"/>
    <n v="260"/>
    <n v="15"/>
    <n v="853.2"/>
    <n v="7110"/>
    <x v="2"/>
    <n v="12"/>
    <x v="2"/>
    <x v="2"/>
    <x v="0"/>
    <n v="10665"/>
    <n v="9811.7999999999993"/>
    <n v="2701.7999999999993"/>
    <n v="0.27536231884057966"/>
    <x v="0"/>
  </r>
  <r>
    <n v="401"/>
    <x v="2"/>
    <x v="3"/>
    <x v="5"/>
    <x v="2"/>
    <n v="1375"/>
    <n v="260"/>
    <n v="12"/>
    <n v="1320"/>
    <n v="4125"/>
    <x v="12"/>
    <n v="12"/>
    <x v="2"/>
    <x v="2"/>
    <x v="1"/>
    <n v="16500"/>
    <n v="15180"/>
    <n v="11055"/>
    <n v="0.72826086956521741"/>
    <x v="0"/>
  </r>
  <r>
    <n v="402"/>
    <x v="4"/>
    <x v="3"/>
    <x v="5"/>
    <x v="2"/>
    <n v="635"/>
    <n v="260"/>
    <n v="300"/>
    <n v="15240"/>
    <n v="158750"/>
    <x v="2"/>
    <n v="12"/>
    <x v="2"/>
    <x v="2"/>
    <x v="0"/>
    <n v="190500"/>
    <n v="175260"/>
    <n v="16510"/>
    <n v="9.420289855072464E-2"/>
    <x v="1"/>
  </r>
  <r>
    <n v="403"/>
    <x v="0"/>
    <x v="4"/>
    <x v="4"/>
    <x v="2"/>
    <n v="436.5"/>
    <n v="250"/>
    <n v="20"/>
    <n v="698.40000000000009"/>
    <n v="4365"/>
    <x v="4"/>
    <n v="7"/>
    <x v="4"/>
    <x v="4"/>
    <x v="0"/>
    <n v="8730"/>
    <n v="8031.6"/>
    <n v="3666.6000000000004"/>
    <n v="0.45652173913043481"/>
    <x v="0"/>
  </r>
  <r>
    <n v="404"/>
    <x v="4"/>
    <x v="0"/>
    <x v="0"/>
    <x v="2"/>
    <n v="1094"/>
    <n v="3"/>
    <n v="300"/>
    <n v="29538"/>
    <n v="273500"/>
    <x v="1"/>
    <n v="6"/>
    <x v="1"/>
    <x v="1"/>
    <x v="0"/>
    <n v="328200"/>
    <n v="298662"/>
    <n v="25162"/>
    <n v="8.4249084249084255E-2"/>
    <x v="1"/>
  </r>
  <r>
    <n v="405"/>
    <x v="2"/>
    <x v="3"/>
    <x v="0"/>
    <x v="2"/>
    <n v="367"/>
    <n v="3"/>
    <n v="12"/>
    <n v="396.36"/>
    <n v="1101"/>
    <x v="7"/>
    <n v="10"/>
    <x v="7"/>
    <x v="7"/>
    <x v="1"/>
    <n v="4404"/>
    <n v="4007.64"/>
    <n v="2906.64"/>
    <n v="0.72527472527472525"/>
    <x v="0"/>
  </r>
  <r>
    <n v="406"/>
    <x v="4"/>
    <x v="0"/>
    <x v="1"/>
    <x v="2"/>
    <n v="3802.5"/>
    <n v="5"/>
    <n v="300"/>
    <n v="102667.5"/>
    <n v="950625"/>
    <x v="13"/>
    <n v="4"/>
    <x v="10"/>
    <x v="10"/>
    <x v="0"/>
    <n v="1140750"/>
    <n v="1038082.5"/>
    <n v="87457.5"/>
    <n v="8.4249084249084255E-2"/>
    <x v="1"/>
  </r>
  <r>
    <n v="407"/>
    <x v="0"/>
    <x v="2"/>
    <x v="1"/>
    <x v="2"/>
    <n v="1666"/>
    <n v="5"/>
    <n v="350"/>
    <n v="52479"/>
    <n v="433160"/>
    <x v="14"/>
    <n v="5"/>
    <x v="11"/>
    <x v="11"/>
    <x v="0"/>
    <n v="583100"/>
    <n v="530621"/>
    <n v="97461"/>
    <n v="0.18367346938775511"/>
    <x v="2"/>
  </r>
  <r>
    <n v="408"/>
    <x v="4"/>
    <x v="2"/>
    <x v="1"/>
    <x v="2"/>
    <n v="322"/>
    <n v="5"/>
    <n v="300"/>
    <n v="8694"/>
    <n v="80500"/>
    <x v="9"/>
    <n v="9"/>
    <x v="6"/>
    <x v="6"/>
    <x v="1"/>
    <n v="96600"/>
    <n v="87906"/>
    <n v="7406"/>
    <n v="8.4249084249084255E-2"/>
    <x v="1"/>
  </r>
  <r>
    <n v="409"/>
    <x v="2"/>
    <x v="0"/>
    <x v="1"/>
    <x v="2"/>
    <n v="2321"/>
    <n v="5"/>
    <n v="12"/>
    <n v="2506.6799999999998"/>
    <n v="6963"/>
    <x v="15"/>
    <n v="11"/>
    <x v="9"/>
    <x v="9"/>
    <x v="0"/>
    <n v="27852"/>
    <n v="25345.32"/>
    <n v="18382.32"/>
    <n v="0.72527472527472525"/>
    <x v="0"/>
  </r>
  <r>
    <n v="410"/>
    <x v="3"/>
    <x v="2"/>
    <x v="1"/>
    <x v="2"/>
    <n v="1857"/>
    <n v="5"/>
    <n v="125"/>
    <n v="20891.25"/>
    <n v="222840"/>
    <x v="11"/>
    <n v="11"/>
    <x v="9"/>
    <x v="9"/>
    <x v="1"/>
    <n v="232125"/>
    <n v="211233.75"/>
    <n v="-11606.25"/>
    <n v="-5.4945054945054944E-2"/>
    <x v="3"/>
  </r>
  <r>
    <n v="411"/>
    <x v="0"/>
    <x v="0"/>
    <x v="1"/>
    <x v="2"/>
    <n v="1611"/>
    <n v="5"/>
    <n v="7"/>
    <n v="1014.93"/>
    <n v="8055"/>
    <x v="12"/>
    <n v="12"/>
    <x v="2"/>
    <x v="2"/>
    <x v="1"/>
    <n v="11277"/>
    <n v="10262.07"/>
    <n v="2207.0699999999997"/>
    <n v="0.21507064364207218"/>
    <x v="0"/>
  </r>
  <r>
    <n v="412"/>
    <x v="3"/>
    <x v="4"/>
    <x v="1"/>
    <x v="2"/>
    <n v="2797"/>
    <n v="5"/>
    <n v="125"/>
    <n v="31466.25"/>
    <n v="335640"/>
    <x v="2"/>
    <n v="12"/>
    <x v="2"/>
    <x v="2"/>
    <x v="0"/>
    <n v="349625"/>
    <n v="318158.75"/>
    <n v="-17481.25"/>
    <n v="-5.4945054945054944E-2"/>
    <x v="3"/>
  </r>
  <r>
    <n v="413"/>
    <x v="4"/>
    <x v="1"/>
    <x v="1"/>
    <x v="2"/>
    <n v="334"/>
    <n v="5"/>
    <n v="300"/>
    <n v="9018"/>
    <n v="83500"/>
    <x v="12"/>
    <n v="12"/>
    <x v="2"/>
    <x v="2"/>
    <x v="1"/>
    <n v="100200"/>
    <n v="91182"/>
    <n v="7682"/>
    <n v="8.4249084249084255E-2"/>
    <x v="1"/>
  </r>
  <r>
    <n v="414"/>
    <x v="4"/>
    <x v="3"/>
    <x v="2"/>
    <x v="2"/>
    <n v="2565"/>
    <n v="10"/>
    <n v="300"/>
    <n v="69255"/>
    <n v="641250"/>
    <x v="0"/>
    <n v="1"/>
    <x v="0"/>
    <x v="0"/>
    <x v="0"/>
    <n v="769500"/>
    <n v="700245"/>
    <n v="58995"/>
    <n v="8.4249084249084255E-2"/>
    <x v="1"/>
  </r>
  <r>
    <n v="415"/>
    <x v="0"/>
    <x v="3"/>
    <x v="2"/>
    <x v="2"/>
    <n v="2417"/>
    <n v="10"/>
    <n v="350"/>
    <n v="76135.5"/>
    <n v="628420"/>
    <x v="0"/>
    <n v="1"/>
    <x v="0"/>
    <x v="0"/>
    <x v="0"/>
    <n v="845950"/>
    <n v="769814.5"/>
    <n v="141394.5"/>
    <n v="0.18367346938775511"/>
    <x v="2"/>
  </r>
  <r>
    <n v="416"/>
    <x v="1"/>
    <x v="4"/>
    <x v="2"/>
    <x v="2"/>
    <n v="3675"/>
    <n v="10"/>
    <n v="15"/>
    <n v="4961.25"/>
    <n v="36750"/>
    <x v="13"/>
    <n v="4"/>
    <x v="10"/>
    <x v="10"/>
    <x v="0"/>
    <n v="55125"/>
    <n v="50163.75"/>
    <n v="13413.75"/>
    <n v="0.26739926739926739"/>
    <x v="0"/>
  </r>
  <r>
    <n v="417"/>
    <x v="4"/>
    <x v="0"/>
    <x v="2"/>
    <x v="2"/>
    <n v="1094"/>
    <n v="10"/>
    <n v="300"/>
    <n v="29538"/>
    <n v="273500"/>
    <x v="1"/>
    <n v="6"/>
    <x v="1"/>
    <x v="1"/>
    <x v="0"/>
    <n v="328200"/>
    <n v="298662"/>
    <n v="25162"/>
    <n v="8.4249084249084255E-2"/>
    <x v="1"/>
  </r>
  <r>
    <n v="418"/>
    <x v="1"/>
    <x v="2"/>
    <x v="2"/>
    <x v="2"/>
    <n v="1227"/>
    <n v="10"/>
    <n v="15"/>
    <n v="1656.45"/>
    <n v="12270"/>
    <x v="10"/>
    <n v="10"/>
    <x v="7"/>
    <x v="7"/>
    <x v="0"/>
    <n v="18405"/>
    <n v="16748.55"/>
    <n v="4478.5499999999993"/>
    <n v="0.26739926739926739"/>
    <x v="0"/>
  </r>
  <r>
    <n v="419"/>
    <x v="2"/>
    <x v="3"/>
    <x v="2"/>
    <x v="2"/>
    <n v="367"/>
    <n v="10"/>
    <n v="12"/>
    <n v="396.36"/>
    <n v="1101"/>
    <x v="7"/>
    <n v="10"/>
    <x v="7"/>
    <x v="7"/>
    <x v="1"/>
    <n v="4404"/>
    <n v="4007.64"/>
    <n v="2906.64"/>
    <n v="0.72527472527472525"/>
    <x v="0"/>
  </r>
  <r>
    <n v="420"/>
    <x v="4"/>
    <x v="2"/>
    <x v="2"/>
    <x v="2"/>
    <n v="1324"/>
    <n v="10"/>
    <n v="300"/>
    <n v="35748"/>
    <n v="331000"/>
    <x v="15"/>
    <n v="11"/>
    <x v="9"/>
    <x v="9"/>
    <x v="0"/>
    <n v="397200"/>
    <n v="361452"/>
    <n v="30452"/>
    <n v="8.4249084249084255E-2"/>
    <x v="1"/>
  </r>
  <r>
    <n v="421"/>
    <x v="2"/>
    <x v="1"/>
    <x v="2"/>
    <x v="2"/>
    <n v="1775"/>
    <n v="10"/>
    <n v="12"/>
    <n v="1917"/>
    <n v="5325"/>
    <x v="11"/>
    <n v="11"/>
    <x v="9"/>
    <x v="9"/>
    <x v="1"/>
    <n v="21300"/>
    <n v="19383"/>
    <n v="14058"/>
    <n v="0.72527472527472525"/>
    <x v="0"/>
  </r>
  <r>
    <n v="422"/>
    <x v="3"/>
    <x v="4"/>
    <x v="2"/>
    <x v="2"/>
    <n v="2797"/>
    <n v="10"/>
    <n v="125"/>
    <n v="31466.25"/>
    <n v="335640"/>
    <x v="2"/>
    <n v="12"/>
    <x v="2"/>
    <x v="2"/>
    <x v="0"/>
    <n v="349625"/>
    <n v="318158.75"/>
    <n v="-17481.25"/>
    <n v="-5.4945054945054944E-2"/>
    <x v="3"/>
  </r>
  <r>
    <n v="423"/>
    <x v="1"/>
    <x v="3"/>
    <x v="3"/>
    <x v="2"/>
    <n v="245"/>
    <n v="120"/>
    <n v="15"/>
    <n v="330.75"/>
    <n v="2450"/>
    <x v="14"/>
    <n v="5"/>
    <x v="11"/>
    <x v="11"/>
    <x v="0"/>
    <n v="3675"/>
    <n v="3344.25"/>
    <n v="894.25"/>
    <n v="0.26739926739926739"/>
    <x v="0"/>
  </r>
  <r>
    <n v="424"/>
    <x v="4"/>
    <x v="0"/>
    <x v="3"/>
    <x v="2"/>
    <n v="3793.5"/>
    <n v="120"/>
    <n v="300"/>
    <n v="102424.5"/>
    <n v="948375"/>
    <x v="4"/>
    <n v="7"/>
    <x v="4"/>
    <x v="4"/>
    <x v="0"/>
    <n v="1138050"/>
    <n v="1035625.5"/>
    <n v="87250.5"/>
    <n v="8.4249084249084255E-2"/>
    <x v="1"/>
  </r>
  <r>
    <n v="425"/>
    <x v="0"/>
    <x v="1"/>
    <x v="3"/>
    <x v="2"/>
    <n v="1307"/>
    <n v="120"/>
    <n v="350"/>
    <n v="41170.5"/>
    <n v="339820"/>
    <x v="4"/>
    <n v="7"/>
    <x v="4"/>
    <x v="4"/>
    <x v="0"/>
    <n v="457450"/>
    <n v="416279.5"/>
    <n v="76459.5"/>
    <n v="0.18367346938775511"/>
    <x v="2"/>
  </r>
  <r>
    <n v="426"/>
    <x v="3"/>
    <x v="0"/>
    <x v="3"/>
    <x v="2"/>
    <n v="567"/>
    <n v="120"/>
    <n v="125"/>
    <n v="6378.75"/>
    <n v="68040"/>
    <x v="6"/>
    <n v="9"/>
    <x v="6"/>
    <x v="6"/>
    <x v="0"/>
    <n v="70875"/>
    <n v="64496.25"/>
    <n v="-3543.75"/>
    <n v="-5.4945054945054944E-2"/>
    <x v="3"/>
  </r>
  <r>
    <n v="427"/>
    <x v="3"/>
    <x v="3"/>
    <x v="3"/>
    <x v="2"/>
    <n v="2110"/>
    <n v="120"/>
    <n v="125"/>
    <n v="23737.5"/>
    <n v="253200"/>
    <x v="6"/>
    <n v="9"/>
    <x v="6"/>
    <x v="6"/>
    <x v="0"/>
    <n v="263750"/>
    <n v="240012.5"/>
    <n v="-13187.5"/>
    <n v="-5.4945054945054944E-2"/>
    <x v="3"/>
  </r>
  <r>
    <n v="428"/>
    <x v="0"/>
    <x v="0"/>
    <x v="3"/>
    <x v="2"/>
    <n v="1269"/>
    <n v="120"/>
    <n v="350"/>
    <n v="39973.5"/>
    <n v="329940"/>
    <x v="10"/>
    <n v="10"/>
    <x v="7"/>
    <x v="7"/>
    <x v="0"/>
    <n v="444150"/>
    <n v="404176.5"/>
    <n v="74236.5"/>
    <n v="0.18367346938775511"/>
    <x v="2"/>
  </r>
  <r>
    <n v="429"/>
    <x v="2"/>
    <x v="4"/>
    <x v="4"/>
    <x v="2"/>
    <n v="1956"/>
    <n v="250"/>
    <n v="12"/>
    <n v="2112.48"/>
    <n v="5868"/>
    <x v="0"/>
    <n v="1"/>
    <x v="0"/>
    <x v="0"/>
    <x v="0"/>
    <n v="23472"/>
    <n v="21359.52"/>
    <n v="15491.52"/>
    <n v="0.72527472527472525"/>
    <x v="0"/>
  </r>
  <r>
    <n v="430"/>
    <x v="4"/>
    <x v="1"/>
    <x v="4"/>
    <x v="2"/>
    <n v="2659"/>
    <n v="250"/>
    <n v="300"/>
    <n v="71793"/>
    <n v="664750"/>
    <x v="8"/>
    <n v="2"/>
    <x v="8"/>
    <x v="8"/>
    <x v="0"/>
    <n v="797700"/>
    <n v="725907"/>
    <n v="61157"/>
    <n v="8.4249084249084255E-2"/>
    <x v="1"/>
  </r>
  <r>
    <n v="431"/>
    <x v="0"/>
    <x v="4"/>
    <x v="4"/>
    <x v="2"/>
    <n v="1351.5"/>
    <n v="250"/>
    <n v="350"/>
    <n v="42572.25"/>
    <n v="351390"/>
    <x v="13"/>
    <n v="4"/>
    <x v="10"/>
    <x v="10"/>
    <x v="0"/>
    <n v="473025"/>
    <n v="430452.75"/>
    <n v="79062.75"/>
    <n v="0.18367346938775511"/>
    <x v="2"/>
  </r>
  <r>
    <n v="432"/>
    <x v="2"/>
    <x v="1"/>
    <x v="4"/>
    <x v="2"/>
    <n v="880"/>
    <n v="250"/>
    <n v="12"/>
    <n v="950.4"/>
    <n v="2640"/>
    <x v="14"/>
    <n v="5"/>
    <x v="11"/>
    <x v="11"/>
    <x v="0"/>
    <n v="10560"/>
    <n v="9609.6"/>
    <n v="6969.6"/>
    <n v="0.72527472527472525"/>
    <x v="0"/>
  </r>
  <r>
    <n v="433"/>
    <x v="4"/>
    <x v="4"/>
    <x v="4"/>
    <x v="2"/>
    <n v="1867"/>
    <n v="250"/>
    <n v="300"/>
    <n v="50409"/>
    <n v="466750"/>
    <x v="6"/>
    <n v="9"/>
    <x v="6"/>
    <x v="6"/>
    <x v="0"/>
    <n v="560100"/>
    <n v="509691"/>
    <n v="42941"/>
    <n v="8.4249084249084255E-2"/>
    <x v="1"/>
  </r>
  <r>
    <n v="434"/>
    <x v="2"/>
    <x v="2"/>
    <x v="4"/>
    <x v="2"/>
    <n v="2234"/>
    <n v="250"/>
    <n v="12"/>
    <n v="2412.7199999999998"/>
    <n v="6702"/>
    <x v="9"/>
    <n v="9"/>
    <x v="6"/>
    <x v="6"/>
    <x v="1"/>
    <n v="26808"/>
    <n v="24395.279999999999"/>
    <n v="17693.28"/>
    <n v="0.72527472527472525"/>
    <x v="0"/>
  </r>
  <r>
    <n v="435"/>
    <x v="1"/>
    <x v="2"/>
    <x v="4"/>
    <x v="2"/>
    <n v="1227"/>
    <n v="250"/>
    <n v="15"/>
    <n v="1656.45"/>
    <n v="12270"/>
    <x v="10"/>
    <n v="10"/>
    <x v="7"/>
    <x v="7"/>
    <x v="0"/>
    <n v="18405"/>
    <n v="16748.55"/>
    <n v="4478.5499999999993"/>
    <n v="0.26739926739926739"/>
    <x v="0"/>
  </r>
  <r>
    <n v="436"/>
    <x v="3"/>
    <x v="3"/>
    <x v="4"/>
    <x v="2"/>
    <n v="877"/>
    <n v="250"/>
    <n v="125"/>
    <n v="9866.25"/>
    <n v="105240"/>
    <x v="15"/>
    <n v="11"/>
    <x v="9"/>
    <x v="9"/>
    <x v="0"/>
    <n v="109625"/>
    <n v="99758.75"/>
    <n v="-5481.25"/>
    <n v="-5.4945054945054944E-2"/>
    <x v="3"/>
  </r>
  <r>
    <n v="437"/>
    <x v="0"/>
    <x v="4"/>
    <x v="5"/>
    <x v="2"/>
    <n v="2071"/>
    <n v="260"/>
    <n v="350"/>
    <n v="65236.5"/>
    <n v="538460"/>
    <x v="6"/>
    <n v="9"/>
    <x v="6"/>
    <x v="6"/>
    <x v="0"/>
    <n v="724850"/>
    <n v="659613.5"/>
    <n v="121153.5"/>
    <n v="0.18367346938775511"/>
    <x v="2"/>
  </r>
  <r>
    <n v="438"/>
    <x v="0"/>
    <x v="0"/>
    <x v="5"/>
    <x v="2"/>
    <n v="1269"/>
    <n v="260"/>
    <n v="350"/>
    <n v="39973.5"/>
    <n v="329940"/>
    <x v="10"/>
    <n v="10"/>
    <x v="7"/>
    <x v="7"/>
    <x v="0"/>
    <n v="444150"/>
    <n v="404176.5"/>
    <n v="74236.5"/>
    <n v="0.18367346938775511"/>
    <x v="2"/>
  </r>
  <r>
    <n v="439"/>
    <x v="1"/>
    <x v="1"/>
    <x v="5"/>
    <x v="2"/>
    <n v="970"/>
    <n v="260"/>
    <n v="15"/>
    <n v="1309.5"/>
    <n v="9700"/>
    <x v="11"/>
    <n v="11"/>
    <x v="9"/>
    <x v="9"/>
    <x v="1"/>
    <n v="14550"/>
    <n v="13240.5"/>
    <n v="3540.5"/>
    <n v="0.26739926739926739"/>
    <x v="0"/>
  </r>
  <r>
    <n v="440"/>
    <x v="0"/>
    <x v="3"/>
    <x v="5"/>
    <x v="2"/>
    <n v="1694"/>
    <n v="260"/>
    <n v="20"/>
    <n v="3049.2"/>
    <n v="16940"/>
    <x v="15"/>
    <n v="11"/>
    <x v="9"/>
    <x v="9"/>
    <x v="0"/>
    <n v="33880"/>
    <n v="30830.799999999999"/>
    <n v="13890.8"/>
    <n v="0.45054945054945056"/>
    <x v="0"/>
  </r>
  <r>
    <n v="441"/>
    <x v="0"/>
    <x v="1"/>
    <x v="0"/>
    <x v="2"/>
    <n v="663"/>
    <n v="3"/>
    <n v="20"/>
    <n v="1193.4000000000001"/>
    <n v="6630"/>
    <x v="14"/>
    <n v="5"/>
    <x v="11"/>
    <x v="11"/>
    <x v="0"/>
    <n v="13260"/>
    <n v="12066.6"/>
    <n v="5436.6"/>
    <n v="0.45054945054945056"/>
    <x v="0"/>
  </r>
  <r>
    <n v="442"/>
    <x v="0"/>
    <x v="0"/>
    <x v="0"/>
    <x v="2"/>
    <n v="819"/>
    <n v="3"/>
    <n v="7"/>
    <n v="515.97"/>
    <n v="4095"/>
    <x v="4"/>
    <n v="7"/>
    <x v="4"/>
    <x v="4"/>
    <x v="0"/>
    <n v="5733"/>
    <n v="5217.03"/>
    <n v="1122.0299999999997"/>
    <n v="0.21507064364207218"/>
    <x v="0"/>
  </r>
  <r>
    <n v="443"/>
    <x v="2"/>
    <x v="1"/>
    <x v="0"/>
    <x v="2"/>
    <n v="1580"/>
    <n v="3"/>
    <n v="12"/>
    <n v="1706.4"/>
    <n v="4740"/>
    <x v="6"/>
    <n v="9"/>
    <x v="6"/>
    <x v="6"/>
    <x v="0"/>
    <n v="18960"/>
    <n v="17253.599999999999"/>
    <n v="12513.599999999999"/>
    <n v="0.72527472527472525"/>
    <x v="0"/>
  </r>
  <r>
    <n v="444"/>
    <x v="0"/>
    <x v="3"/>
    <x v="0"/>
    <x v="2"/>
    <n v="521"/>
    <n v="3"/>
    <n v="7"/>
    <n v="328.23"/>
    <n v="2605"/>
    <x v="2"/>
    <n v="12"/>
    <x v="2"/>
    <x v="2"/>
    <x v="0"/>
    <n v="3647"/>
    <n v="3318.77"/>
    <n v="713.77"/>
    <n v="0.21507064364207221"/>
    <x v="0"/>
  </r>
  <r>
    <n v="445"/>
    <x v="0"/>
    <x v="4"/>
    <x v="2"/>
    <x v="2"/>
    <n v="973"/>
    <n v="10"/>
    <n v="20"/>
    <n v="1751.4"/>
    <n v="9730"/>
    <x v="3"/>
    <n v="3"/>
    <x v="3"/>
    <x v="3"/>
    <x v="0"/>
    <n v="19460"/>
    <n v="17708.599999999999"/>
    <n v="7978.5999999999985"/>
    <n v="0.4505494505494505"/>
    <x v="0"/>
  </r>
  <r>
    <n v="446"/>
    <x v="0"/>
    <x v="3"/>
    <x v="2"/>
    <x v="2"/>
    <n v="1038"/>
    <n v="10"/>
    <n v="20"/>
    <n v="1868.4"/>
    <n v="10380"/>
    <x v="1"/>
    <n v="6"/>
    <x v="1"/>
    <x v="1"/>
    <x v="0"/>
    <n v="20760"/>
    <n v="18891.599999999999"/>
    <n v="8511.5999999999985"/>
    <n v="0.4505494505494505"/>
    <x v="0"/>
  </r>
  <r>
    <n v="447"/>
    <x v="0"/>
    <x v="1"/>
    <x v="2"/>
    <x v="2"/>
    <n v="360"/>
    <n v="10"/>
    <n v="7"/>
    <n v="226.8"/>
    <n v="1800"/>
    <x v="10"/>
    <n v="10"/>
    <x v="7"/>
    <x v="7"/>
    <x v="0"/>
    <n v="2520"/>
    <n v="2293.1999999999998"/>
    <n v="493.19999999999982"/>
    <n v="0.21507064364207215"/>
    <x v="0"/>
  </r>
  <r>
    <n v="448"/>
    <x v="2"/>
    <x v="2"/>
    <x v="3"/>
    <x v="2"/>
    <n v="1967"/>
    <n v="120"/>
    <n v="12"/>
    <n v="2124.36"/>
    <n v="5901"/>
    <x v="3"/>
    <n v="3"/>
    <x v="3"/>
    <x v="3"/>
    <x v="0"/>
    <n v="23604"/>
    <n v="21479.64"/>
    <n v="15578.64"/>
    <n v="0.72527472527472525"/>
    <x v="0"/>
  </r>
  <r>
    <n v="449"/>
    <x v="1"/>
    <x v="3"/>
    <x v="3"/>
    <x v="2"/>
    <n v="2628"/>
    <n v="120"/>
    <n v="15"/>
    <n v="3547.8"/>
    <n v="26280"/>
    <x v="13"/>
    <n v="4"/>
    <x v="10"/>
    <x v="10"/>
    <x v="0"/>
    <n v="39420"/>
    <n v="35872.199999999997"/>
    <n v="9592.1999999999971"/>
    <n v="0.26739926739926734"/>
    <x v="0"/>
  </r>
  <r>
    <n v="450"/>
    <x v="0"/>
    <x v="1"/>
    <x v="4"/>
    <x v="2"/>
    <n v="360"/>
    <n v="250"/>
    <n v="7"/>
    <n v="226.8"/>
    <n v="1800"/>
    <x v="10"/>
    <n v="10"/>
    <x v="7"/>
    <x v="7"/>
    <x v="0"/>
    <n v="2520"/>
    <n v="2293.1999999999998"/>
    <n v="493.19999999999982"/>
    <n v="0.21507064364207215"/>
    <x v="0"/>
  </r>
  <r>
    <n v="451"/>
    <x v="0"/>
    <x v="2"/>
    <x v="4"/>
    <x v="2"/>
    <n v="2682"/>
    <n v="250"/>
    <n v="20"/>
    <n v="4827.6000000000004"/>
    <n v="26820"/>
    <x v="11"/>
    <n v="11"/>
    <x v="9"/>
    <x v="9"/>
    <x v="1"/>
    <n v="53640"/>
    <n v="48812.4"/>
    <n v="21992.400000000001"/>
    <n v="0.45054945054945056"/>
    <x v="0"/>
  </r>
  <r>
    <n v="452"/>
    <x v="0"/>
    <x v="3"/>
    <x v="4"/>
    <x v="2"/>
    <n v="521"/>
    <n v="250"/>
    <n v="7"/>
    <n v="328.23"/>
    <n v="2605"/>
    <x v="2"/>
    <n v="12"/>
    <x v="2"/>
    <x v="2"/>
    <x v="0"/>
    <n v="3647"/>
    <n v="3318.77"/>
    <n v="713.77"/>
    <n v="0.21507064364207221"/>
    <x v="0"/>
  </r>
  <r>
    <n v="453"/>
    <x v="0"/>
    <x v="3"/>
    <x v="5"/>
    <x v="2"/>
    <n v="1038"/>
    <n v="260"/>
    <n v="20"/>
    <n v="1868.4"/>
    <n v="10380"/>
    <x v="1"/>
    <n v="6"/>
    <x v="1"/>
    <x v="1"/>
    <x v="0"/>
    <n v="20760"/>
    <n v="18891.599999999999"/>
    <n v="8511.5999999999985"/>
    <n v="0.4505494505494505"/>
    <x v="0"/>
  </r>
  <r>
    <n v="454"/>
    <x v="1"/>
    <x v="0"/>
    <x v="5"/>
    <x v="2"/>
    <n v="1630.5"/>
    <n v="260"/>
    <n v="15"/>
    <n v="2201.1750000000002"/>
    <n v="16305"/>
    <x v="4"/>
    <n v="7"/>
    <x v="4"/>
    <x v="4"/>
    <x v="0"/>
    <n v="24457.5"/>
    <n v="22256.325000000001"/>
    <n v="5951.3250000000007"/>
    <n v="0.26739926739926745"/>
    <x v="0"/>
  </r>
  <r>
    <n v="455"/>
    <x v="2"/>
    <x v="2"/>
    <x v="5"/>
    <x v="2"/>
    <n v="306"/>
    <n v="260"/>
    <n v="12"/>
    <n v="330.48"/>
    <n v="918"/>
    <x v="12"/>
    <n v="12"/>
    <x v="2"/>
    <x v="2"/>
    <x v="1"/>
    <n v="3672"/>
    <n v="3341.52"/>
    <n v="2423.52"/>
    <n v="0.72527472527472525"/>
    <x v="0"/>
  </r>
  <r>
    <n v="456"/>
    <x v="2"/>
    <x v="4"/>
    <x v="0"/>
    <x v="3"/>
    <n v="386"/>
    <n v="3"/>
    <n v="12"/>
    <n v="463.2"/>
    <n v="1158"/>
    <x v="7"/>
    <n v="10"/>
    <x v="7"/>
    <x v="7"/>
    <x v="1"/>
    <n v="4632"/>
    <n v="4168.8"/>
    <n v="3010.8"/>
    <n v="0.72222222222222221"/>
    <x v="0"/>
  </r>
  <r>
    <n v="457"/>
    <x v="0"/>
    <x v="4"/>
    <x v="1"/>
    <x v="3"/>
    <n v="2328"/>
    <n v="5"/>
    <n v="7"/>
    <n v="1629.6"/>
    <n v="11640"/>
    <x v="6"/>
    <n v="9"/>
    <x v="6"/>
    <x v="6"/>
    <x v="0"/>
    <n v="16296"/>
    <n v="14666.4"/>
    <n v="3026.3999999999996"/>
    <n v="0.20634920634920634"/>
    <x v="0"/>
  </r>
  <r>
    <n v="458"/>
    <x v="2"/>
    <x v="4"/>
    <x v="2"/>
    <x v="3"/>
    <n v="386"/>
    <n v="10"/>
    <n v="12"/>
    <n v="463.2"/>
    <n v="1158"/>
    <x v="7"/>
    <n v="10"/>
    <x v="7"/>
    <x v="7"/>
    <x v="1"/>
    <n v="4632"/>
    <n v="4168.8"/>
    <n v="3010.8"/>
    <n v="0.72222222222222221"/>
    <x v="0"/>
  </r>
  <r>
    <n v="459"/>
    <x v="3"/>
    <x v="4"/>
    <x v="0"/>
    <x v="3"/>
    <n v="3445.5"/>
    <n v="3"/>
    <n v="125"/>
    <n v="43068.75"/>
    <n v="413460"/>
    <x v="13"/>
    <n v="4"/>
    <x v="10"/>
    <x v="10"/>
    <x v="0"/>
    <n v="430687.5"/>
    <n v="387618.75"/>
    <n v="-25841.25"/>
    <n v="-6.6666666666666666E-2"/>
    <x v="3"/>
  </r>
  <r>
    <n v="460"/>
    <x v="3"/>
    <x v="2"/>
    <x v="0"/>
    <x v="3"/>
    <n v="1482"/>
    <n v="3"/>
    <n v="125"/>
    <n v="18525"/>
    <n v="177840"/>
    <x v="12"/>
    <n v="12"/>
    <x v="2"/>
    <x v="2"/>
    <x v="1"/>
    <n v="185250"/>
    <n v="166725"/>
    <n v="-11115"/>
    <n v="-6.6666666666666666E-2"/>
    <x v="3"/>
  </r>
  <r>
    <n v="461"/>
    <x v="0"/>
    <x v="4"/>
    <x v="1"/>
    <x v="3"/>
    <n v="2313"/>
    <n v="5"/>
    <n v="350"/>
    <n v="80955"/>
    <n v="601380"/>
    <x v="14"/>
    <n v="5"/>
    <x v="11"/>
    <x v="11"/>
    <x v="0"/>
    <n v="809550"/>
    <n v="728595"/>
    <n v="127215"/>
    <n v="0.17460317460317459"/>
    <x v="2"/>
  </r>
  <r>
    <n v="462"/>
    <x v="3"/>
    <x v="4"/>
    <x v="1"/>
    <x v="3"/>
    <n v="1804"/>
    <n v="5"/>
    <n v="125"/>
    <n v="22550"/>
    <n v="216480"/>
    <x v="11"/>
    <n v="11"/>
    <x v="9"/>
    <x v="9"/>
    <x v="1"/>
    <n v="225500"/>
    <n v="202950"/>
    <n v="-13530"/>
    <n v="-6.6666666666666666E-2"/>
    <x v="3"/>
  </r>
  <r>
    <n v="463"/>
    <x v="1"/>
    <x v="2"/>
    <x v="1"/>
    <x v="3"/>
    <n v="2072"/>
    <n v="5"/>
    <n v="15"/>
    <n v="3108"/>
    <n v="20720"/>
    <x v="2"/>
    <n v="12"/>
    <x v="2"/>
    <x v="2"/>
    <x v="0"/>
    <n v="31080"/>
    <n v="27972"/>
    <n v="7252"/>
    <n v="0.25925925925925924"/>
    <x v="0"/>
  </r>
  <r>
    <n v="464"/>
    <x v="0"/>
    <x v="2"/>
    <x v="2"/>
    <x v="3"/>
    <n v="1954"/>
    <n v="10"/>
    <n v="20"/>
    <n v="3908"/>
    <n v="19540"/>
    <x v="3"/>
    <n v="3"/>
    <x v="3"/>
    <x v="3"/>
    <x v="0"/>
    <n v="39080"/>
    <n v="35172"/>
    <n v="15632"/>
    <n v="0.44444444444444442"/>
    <x v="0"/>
  </r>
  <r>
    <n v="465"/>
    <x v="4"/>
    <x v="3"/>
    <x v="2"/>
    <x v="3"/>
    <n v="591"/>
    <n v="10"/>
    <n v="300"/>
    <n v="17730"/>
    <n v="147750"/>
    <x v="14"/>
    <n v="5"/>
    <x v="11"/>
    <x v="11"/>
    <x v="0"/>
    <n v="177300"/>
    <n v="159570"/>
    <n v="11820"/>
    <n v="7.407407407407407E-2"/>
    <x v="1"/>
  </r>
  <r>
    <n v="466"/>
    <x v="1"/>
    <x v="2"/>
    <x v="2"/>
    <x v="3"/>
    <n v="2167"/>
    <n v="10"/>
    <n v="15"/>
    <n v="3250.5"/>
    <n v="21670"/>
    <x v="7"/>
    <n v="10"/>
    <x v="7"/>
    <x v="7"/>
    <x v="1"/>
    <n v="32505"/>
    <n v="29254.5"/>
    <n v="7584.5"/>
    <n v="0.25925925925925924"/>
    <x v="0"/>
  </r>
  <r>
    <n v="467"/>
    <x v="0"/>
    <x v="1"/>
    <x v="2"/>
    <x v="3"/>
    <n v="241"/>
    <n v="10"/>
    <n v="20"/>
    <n v="482"/>
    <n v="2410"/>
    <x v="10"/>
    <n v="10"/>
    <x v="7"/>
    <x v="7"/>
    <x v="0"/>
    <n v="4820"/>
    <n v="4338"/>
    <n v="1928"/>
    <n v="0.44444444444444442"/>
    <x v="0"/>
  </r>
  <r>
    <n v="468"/>
    <x v="1"/>
    <x v="1"/>
    <x v="3"/>
    <x v="3"/>
    <n v="681"/>
    <n v="120"/>
    <n v="15"/>
    <n v="1021.5"/>
    <n v="6810"/>
    <x v="0"/>
    <n v="1"/>
    <x v="0"/>
    <x v="0"/>
    <x v="0"/>
    <n v="10215"/>
    <n v="9193.5"/>
    <n v="2383.5"/>
    <n v="0.25925925925925924"/>
    <x v="0"/>
  </r>
  <r>
    <n v="469"/>
    <x v="1"/>
    <x v="1"/>
    <x v="3"/>
    <x v="3"/>
    <n v="510"/>
    <n v="120"/>
    <n v="15"/>
    <n v="765"/>
    <n v="5100"/>
    <x v="13"/>
    <n v="4"/>
    <x v="10"/>
    <x v="10"/>
    <x v="0"/>
    <n v="7650"/>
    <n v="6885"/>
    <n v="1785"/>
    <n v="0.25925925925925924"/>
    <x v="0"/>
  </r>
  <r>
    <n v="470"/>
    <x v="1"/>
    <x v="4"/>
    <x v="3"/>
    <x v="3"/>
    <n v="790"/>
    <n v="120"/>
    <n v="15"/>
    <n v="1185"/>
    <n v="7900"/>
    <x v="14"/>
    <n v="5"/>
    <x v="11"/>
    <x v="11"/>
    <x v="0"/>
    <n v="11850"/>
    <n v="10665"/>
    <n v="2765"/>
    <n v="0.25925925925925924"/>
    <x v="0"/>
  </r>
  <r>
    <n v="471"/>
    <x v="0"/>
    <x v="2"/>
    <x v="3"/>
    <x v="3"/>
    <n v="639"/>
    <n v="120"/>
    <n v="350"/>
    <n v="22365"/>
    <n v="166140"/>
    <x v="4"/>
    <n v="7"/>
    <x v="4"/>
    <x v="4"/>
    <x v="0"/>
    <n v="223650"/>
    <n v="201285"/>
    <n v="35145"/>
    <n v="0.17460317460317459"/>
    <x v="2"/>
  </r>
  <r>
    <n v="472"/>
    <x v="3"/>
    <x v="4"/>
    <x v="3"/>
    <x v="3"/>
    <n v="1596"/>
    <n v="120"/>
    <n v="125"/>
    <n v="19950"/>
    <n v="191520"/>
    <x v="6"/>
    <n v="9"/>
    <x v="6"/>
    <x v="6"/>
    <x v="0"/>
    <n v="199500"/>
    <n v="179550"/>
    <n v="-11970"/>
    <n v="-6.6666666666666666E-2"/>
    <x v="3"/>
  </r>
  <r>
    <n v="473"/>
    <x v="4"/>
    <x v="4"/>
    <x v="3"/>
    <x v="3"/>
    <n v="2294"/>
    <n v="120"/>
    <n v="300"/>
    <n v="68820"/>
    <n v="573500"/>
    <x v="7"/>
    <n v="10"/>
    <x v="7"/>
    <x v="7"/>
    <x v="1"/>
    <n v="688200"/>
    <n v="619380"/>
    <n v="45880"/>
    <n v="7.407407407407407E-2"/>
    <x v="1"/>
  </r>
  <r>
    <n v="474"/>
    <x v="0"/>
    <x v="1"/>
    <x v="3"/>
    <x v="3"/>
    <n v="241"/>
    <n v="120"/>
    <n v="20"/>
    <n v="482"/>
    <n v="2410"/>
    <x v="10"/>
    <n v="10"/>
    <x v="7"/>
    <x v="7"/>
    <x v="0"/>
    <n v="4820"/>
    <n v="4338"/>
    <n v="1928"/>
    <n v="0.44444444444444442"/>
    <x v="0"/>
  </r>
  <r>
    <n v="475"/>
    <x v="0"/>
    <x v="1"/>
    <x v="3"/>
    <x v="3"/>
    <n v="2665"/>
    <n v="120"/>
    <n v="7"/>
    <n v="1865.5"/>
    <n v="13325"/>
    <x v="15"/>
    <n v="11"/>
    <x v="9"/>
    <x v="9"/>
    <x v="0"/>
    <n v="18655"/>
    <n v="16789.5"/>
    <n v="3464.5"/>
    <n v="0.20634920634920634"/>
    <x v="0"/>
  </r>
  <r>
    <n v="476"/>
    <x v="3"/>
    <x v="0"/>
    <x v="3"/>
    <x v="3"/>
    <n v="1916"/>
    <n v="120"/>
    <n v="125"/>
    <n v="23950"/>
    <n v="229920"/>
    <x v="12"/>
    <n v="12"/>
    <x v="2"/>
    <x v="2"/>
    <x v="1"/>
    <n v="239500"/>
    <n v="215550"/>
    <n v="-14370"/>
    <n v="-6.6666666666666666E-2"/>
    <x v="3"/>
  </r>
  <r>
    <n v="477"/>
    <x v="4"/>
    <x v="2"/>
    <x v="3"/>
    <x v="3"/>
    <n v="853"/>
    <n v="120"/>
    <n v="300"/>
    <n v="25590"/>
    <n v="213250"/>
    <x v="2"/>
    <n v="12"/>
    <x v="2"/>
    <x v="2"/>
    <x v="0"/>
    <n v="255900"/>
    <n v="230310"/>
    <n v="17060"/>
    <n v="7.407407407407407E-2"/>
    <x v="1"/>
  </r>
  <r>
    <n v="478"/>
    <x v="3"/>
    <x v="3"/>
    <x v="4"/>
    <x v="3"/>
    <n v="341"/>
    <n v="250"/>
    <n v="125"/>
    <n v="4262.5"/>
    <n v="40920"/>
    <x v="14"/>
    <n v="5"/>
    <x v="11"/>
    <x v="11"/>
    <x v="0"/>
    <n v="42625"/>
    <n v="38362.5"/>
    <n v="-2557.5"/>
    <n v="-6.6666666666666666E-2"/>
    <x v="3"/>
  </r>
  <r>
    <n v="479"/>
    <x v="1"/>
    <x v="3"/>
    <x v="4"/>
    <x v="3"/>
    <n v="641"/>
    <n v="250"/>
    <n v="15"/>
    <n v="961.5"/>
    <n v="6410"/>
    <x v="4"/>
    <n v="7"/>
    <x v="4"/>
    <x v="4"/>
    <x v="0"/>
    <n v="9615"/>
    <n v="8653.5"/>
    <n v="2243.5"/>
    <n v="0.25925925925925924"/>
    <x v="0"/>
  </r>
  <r>
    <n v="480"/>
    <x v="0"/>
    <x v="4"/>
    <x v="4"/>
    <x v="3"/>
    <n v="2807"/>
    <n v="250"/>
    <n v="350"/>
    <n v="98245"/>
    <n v="729820"/>
    <x v="5"/>
    <n v="8"/>
    <x v="5"/>
    <x v="5"/>
    <x v="0"/>
    <n v="982450"/>
    <n v="884205"/>
    <n v="154385"/>
    <n v="0.17460317460317459"/>
    <x v="2"/>
  </r>
  <r>
    <n v="481"/>
    <x v="4"/>
    <x v="3"/>
    <x v="4"/>
    <x v="3"/>
    <n v="432"/>
    <n v="250"/>
    <n v="300"/>
    <n v="12960"/>
    <n v="108000"/>
    <x v="6"/>
    <n v="9"/>
    <x v="6"/>
    <x v="6"/>
    <x v="0"/>
    <n v="129600"/>
    <n v="116640"/>
    <n v="8640"/>
    <n v="7.407407407407407E-2"/>
    <x v="1"/>
  </r>
  <r>
    <n v="482"/>
    <x v="4"/>
    <x v="4"/>
    <x v="4"/>
    <x v="3"/>
    <n v="2294"/>
    <n v="250"/>
    <n v="300"/>
    <n v="68820"/>
    <n v="573500"/>
    <x v="7"/>
    <n v="10"/>
    <x v="7"/>
    <x v="7"/>
    <x v="1"/>
    <n v="688200"/>
    <n v="619380"/>
    <n v="45880"/>
    <n v="7.407407407407407E-2"/>
    <x v="1"/>
  </r>
  <r>
    <n v="483"/>
    <x v="1"/>
    <x v="2"/>
    <x v="4"/>
    <x v="3"/>
    <n v="2167"/>
    <n v="250"/>
    <n v="15"/>
    <n v="3250.5"/>
    <n v="21670"/>
    <x v="7"/>
    <n v="10"/>
    <x v="7"/>
    <x v="7"/>
    <x v="1"/>
    <n v="32505"/>
    <n v="29254.5"/>
    <n v="7584.5"/>
    <n v="0.25925925925925924"/>
    <x v="0"/>
  </r>
  <r>
    <n v="484"/>
    <x v="3"/>
    <x v="0"/>
    <x v="4"/>
    <x v="3"/>
    <n v="2529"/>
    <n v="250"/>
    <n v="125"/>
    <n v="31612.5"/>
    <n v="303480"/>
    <x v="15"/>
    <n v="11"/>
    <x v="9"/>
    <x v="9"/>
    <x v="0"/>
    <n v="316125"/>
    <n v="284512.5"/>
    <n v="-18967.5"/>
    <n v="-6.6666666666666666E-2"/>
    <x v="3"/>
  </r>
  <r>
    <n v="485"/>
    <x v="0"/>
    <x v="1"/>
    <x v="4"/>
    <x v="3"/>
    <n v="1870"/>
    <n v="250"/>
    <n v="350"/>
    <n v="65450"/>
    <n v="486200"/>
    <x v="12"/>
    <n v="12"/>
    <x v="2"/>
    <x v="2"/>
    <x v="1"/>
    <n v="654500"/>
    <n v="589050"/>
    <n v="102850"/>
    <n v="0.17460317460317459"/>
    <x v="2"/>
  </r>
  <r>
    <n v="486"/>
    <x v="3"/>
    <x v="4"/>
    <x v="5"/>
    <x v="3"/>
    <n v="579"/>
    <n v="260"/>
    <n v="125"/>
    <n v="7237.5"/>
    <n v="69480"/>
    <x v="0"/>
    <n v="1"/>
    <x v="0"/>
    <x v="0"/>
    <x v="0"/>
    <n v="72375"/>
    <n v="65137.5"/>
    <n v="-4342.5"/>
    <n v="-6.6666666666666666E-2"/>
    <x v="3"/>
  </r>
  <r>
    <n v="487"/>
    <x v="0"/>
    <x v="0"/>
    <x v="5"/>
    <x v="3"/>
    <n v="2240"/>
    <n v="260"/>
    <n v="350"/>
    <n v="78400"/>
    <n v="582400"/>
    <x v="8"/>
    <n v="2"/>
    <x v="8"/>
    <x v="8"/>
    <x v="0"/>
    <n v="784000"/>
    <n v="705600"/>
    <n v="123200"/>
    <n v="0.17460317460317459"/>
    <x v="2"/>
  </r>
  <r>
    <n v="488"/>
    <x v="4"/>
    <x v="4"/>
    <x v="5"/>
    <x v="3"/>
    <n v="2993"/>
    <n v="260"/>
    <n v="300"/>
    <n v="89790"/>
    <n v="748250"/>
    <x v="3"/>
    <n v="3"/>
    <x v="3"/>
    <x v="3"/>
    <x v="0"/>
    <n v="897900"/>
    <n v="808110"/>
    <n v="59860"/>
    <n v="7.407407407407407E-2"/>
    <x v="1"/>
  </r>
  <r>
    <n v="489"/>
    <x v="2"/>
    <x v="0"/>
    <x v="5"/>
    <x v="3"/>
    <n v="3520.5"/>
    <n v="260"/>
    <n v="12"/>
    <n v="4224.6000000000004"/>
    <n v="10561.5"/>
    <x v="13"/>
    <n v="4"/>
    <x v="10"/>
    <x v="10"/>
    <x v="0"/>
    <n v="42246"/>
    <n v="38021.4"/>
    <n v="27459.9"/>
    <n v="0.72222222222222221"/>
    <x v="0"/>
  </r>
  <r>
    <n v="490"/>
    <x v="0"/>
    <x v="3"/>
    <x v="5"/>
    <x v="3"/>
    <n v="2039"/>
    <n v="260"/>
    <n v="20"/>
    <n v="4078"/>
    <n v="20390"/>
    <x v="14"/>
    <n v="5"/>
    <x v="11"/>
    <x v="11"/>
    <x v="0"/>
    <n v="40780"/>
    <n v="36702"/>
    <n v="16312"/>
    <n v="0.44444444444444442"/>
    <x v="0"/>
  </r>
  <r>
    <n v="491"/>
    <x v="2"/>
    <x v="1"/>
    <x v="5"/>
    <x v="3"/>
    <n v="2574"/>
    <n v="260"/>
    <n v="12"/>
    <n v="3088.8"/>
    <n v="7722"/>
    <x v="5"/>
    <n v="8"/>
    <x v="5"/>
    <x v="5"/>
    <x v="0"/>
    <n v="30888"/>
    <n v="27799.200000000001"/>
    <n v="20077.2"/>
    <n v="0.72222222222222221"/>
    <x v="0"/>
  </r>
  <r>
    <n v="492"/>
    <x v="0"/>
    <x v="0"/>
    <x v="5"/>
    <x v="3"/>
    <n v="707"/>
    <n v="260"/>
    <n v="350"/>
    <n v="24745"/>
    <n v="183820"/>
    <x v="6"/>
    <n v="9"/>
    <x v="6"/>
    <x v="6"/>
    <x v="0"/>
    <n v="247450"/>
    <n v="222705"/>
    <n v="38885"/>
    <n v="0.17460317460317459"/>
    <x v="2"/>
  </r>
  <r>
    <n v="493"/>
    <x v="1"/>
    <x v="2"/>
    <x v="5"/>
    <x v="3"/>
    <n v="2072"/>
    <n v="260"/>
    <n v="15"/>
    <n v="3108"/>
    <n v="20720"/>
    <x v="2"/>
    <n v="12"/>
    <x v="2"/>
    <x v="2"/>
    <x v="0"/>
    <n v="31080"/>
    <n v="27972"/>
    <n v="7252"/>
    <n v="0.25925925925925924"/>
    <x v="0"/>
  </r>
  <r>
    <n v="494"/>
    <x v="4"/>
    <x v="2"/>
    <x v="5"/>
    <x v="3"/>
    <n v="853"/>
    <n v="260"/>
    <n v="300"/>
    <n v="25590"/>
    <n v="213250"/>
    <x v="2"/>
    <n v="12"/>
    <x v="2"/>
    <x v="2"/>
    <x v="0"/>
    <n v="255900"/>
    <n v="230310"/>
    <n v="17060"/>
    <n v="7.407407407407407E-2"/>
    <x v="1"/>
  </r>
  <r>
    <n v="495"/>
    <x v="2"/>
    <x v="2"/>
    <x v="0"/>
    <x v="3"/>
    <n v="1198"/>
    <n v="3"/>
    <n v="12"/>
    <n v="1581.36"/>
    <n v="3594"/>
    <x v="7"/>
    <n v="10"/>
    <x v="7"/>
    <x v="7"/>
    <x v="1"/>
    <n v="14376"/>
    <n v="12794.64"/>
    <n v="9200.64"/>
    <n v="0.7191011235955056"/>
    <x v="0"/>
  </r>
  <r>
    <n v="496"/>
    <x v="0"/>
    <x v="2"/>
    <x v="2"/>
    <x v="3"/>
    <n v="2532"/>
    <n v="10"/>
    <n v="7"/>
    <n v="1949.6399999999999"/>
    <n v="12660"/>
    <x v="13"/>
    <n v="4"/>
    <x v="10"/>
    <x v="10"/>
    <x v="0"/>
    <n v="17724"/>
    <n v="15774.36"/>
    <n v="3114.3600000000006"/>
    <n v="0.19743178170144465"/>
    <x v="2"/>
  </r>
  <r>
    <n v="497"/>
    <x v="2"/>
    <x v="2"/>
    <x v="2"/>
    <x v="3"/>
    <n v="1198"/>
    <n v="10"/>
    <n v="12"/>
    <n v="1581.36"/>
    <n v="3594"/>
    <x v="7"/>
    <n v="10"/>
    <x v="7"/>
    <x v="7"/>
    <x v="1"/>
    <n v="14376"/>
    <n v="12794.64"/>
    <n v="9200.64"/>
    <n v="0.7191011235955056"/>
    <x v="0"/>
  </r>
  <r>
    <n v="498"/>
    <x v="1"/>
    <x v="0"/>
    <x v="3"/>
    <x v="3"/>
    <n v="384"/>
    <n v="120"/>
    <n v="15"/>
    <n v="633.59999999999991"/>
    <n v="3840"/>
    <x v="0"/>
    <n v="1"/>
    <x v="0"/>
    <x v="0"/>
    <x v="0"/>
    <n v="5760"/>
    <n v="5126.3999999999996"/>
    <n v="1286.3999999999996"/>
    <n v="0.25093632958801493"/>
    <x v="0"/>
  </r>
  <r>
    <n v="499"/>
    <x v="2"/>
    <x v="1"/>
    <x v="3"/>
    <x v="3"/>
    <n v="472"/>
    <n v="120"/>
    <n v="12"/>
    <n v="623.04"/>
    <n v="1416"/>
    <x v="10"/>
    <n v="10"/>
    <x v="7"/>
    <x v="7"/>
    <x v="0"/>
    <n v="5664"/>
    <n v="5040.96"/>
    <n v="3624.96"/>
    <n v="0.7191011235955056"/>
    <x v="0"/>
  </r>
  <r>
    <n v="500"/>
    <x v="0"/>
    <x v="4"/>
    <x v="4"/>
    <x v="3"/>
    <n v="1579"/>
    <n v="250"/>
    <n v="7"/>
    <n v="1215.83"/>
    <n v="7895"/>
    <x v="3"/>
    <n v="3"/>
    <x v="3"/>
    <x v="3"/>
    <x v="0"/>
    <n v="11053"/>
    <n v="9837.17"/>
    <n v="1942.17"/>
    <n v="0.19743178170144463"/>
    <x v="2"/>
  </r>
  <r>
    <n v="501"/>
    <x v="2"/>
    <x v="3"/>
    <x v="4"/>
    <x v="3"/>
    <n v="1005"/>
    <n v="250"/>
    <n v="12"/>
    <n v="1326.6"/>
    <n v="3015"/>
    <x v="9"/>
    <n v="9"/>
    <x v="6"/>
    <x v="6"/>
    <x v="1"/>
    <n v="12060"/>
    <n v="10733.4"/>
    <n v="7718.4"/>
    <n v="0.7191011235955056"/>
    <x v="0"/>
  </r>
  <r>
    <n v="502"/>
    <x v="1"/>
    <x v="4"/>
    <x v="5"/>
    <x v="3"/>
    <n v="3199.5"/>
    <n v="260"/>
    <n v="15"/>
    <n v="5279.1749999999993"/>
    <n v="31995"/>
    <x v="4"/>
    <n v="7"/>
    <x v="4"/>
    <x v="4"/>
    <x v="0"/>
    <n v="47992.5"/>
    <n v="42713.324999999997"/>
    <n v="10718.324999999997"/>
    <n v="0.25093632958801493"/>
    <x v="0"/>
  </r>
  <r>
    <n v="503"/>
    <x v="2"/>
    <x v="1"/>
    <x v="5"/>
    <x v="3"/>
    <n v="472"/>
    <n v="260"/>
    <n v="12"/>
    <n v="623.04"/>
    <n v="1416"/>
    <x v="10"/>
    <n v="10"/>
    <x v="7"/>
    <x v="7"/>
    <x v="0"/>
    <n v="5664"/>
    <n v="5040.96"/>
    <n v="3624.96"/>
    <n v="0.7191011235955056"/>
    <x v="0"/>
  </r>
  <r>
    <n v="504"/>
    <x v="2"/>
    <x v="0"/>
    <x v="0"/>
    <x v="3"/>
    <n v="1937"/>
    <n v="3"/>
    <n v="12"/>
    <n v="2556.84"/>
    <n v="5811"/>
    <x v="8"/>
    <n v="2"/>
    <x v="8"/>
    <x v="8"/>
    <x v="0"/>
    <n v="23244"/>
    <n v="20687.16"/>
    <n v="14876.16"/>
    <n v="0.7191011235955056"/>
    <x v="0"/>
  </r>
  <r>
    <n v="505"/>
    <x v="0"/>
    <x v="1"/>
    <x v="0"/>
    <x v="3"/>
    <n v="792"/>
    <n v="3"/>
    <n v="350"/>
    <n v="30492"/>
    <n v="205920"/>
    <x v="3"/>
    <n v="3"/>
    <x v="3"/>
    <x v="3"/>
    <x v="0"/>
    <n v="277200"/>
    <n v="246708"/>
    <n v="40788"/>
    <n v="0.1653290529695024"/>
    <x v="2"/>
  </r>
  <r>
    <n v="506"/>
    <x v="4"/>
    <x v="1"/>
    <x v="0"/>
    <x v="3"/>
    <n v="2811"/>
    <n v="3"/>
    <n v="300"/>
    <n v="92763"/>
    <n v="702750"/>
    <x v="4"/>
    <n v="7"/>
    <x v="4"/>
    <x v="4"/>
    <x v="0"/>
    <n v="843300"/>
    <n v="750537"/>
    <n v="47787"/>
    <n v="6.3670411985018729E-2"/>
    <x v="1"/>
  </r>
  <r>
    <n v="507"/>
    <x v="3"/>
    <x v="2"/>
    <x v="0"/>
    <x v="3"/>
    <n v="2441"/>
    <n v="3"/>
    <n v="125"/>
    <n v="33563.75"/>
    <n v="292920"/>
    <x v="10"/>
    <n v="10"/>
    <x v="7"/>
    <x v="7"/>
    <x v="0"/>
    <n v="305125"/>
    <n v="271561.25"/>
    <n v="-21358.75"/>
    <n v="-7.8651685393258425E-2"/>
    <x v="3"/>
  </r>
  <r>
    <n v="508"/>
    <x v="1"/>
    <x v="0"/>
    <x v="0"/>
    <x v="3"/>
    <n v="1560"/>
    <n v="3"/>
    <n v="15"/>
    <n v="2574"/>
    <n v="15600"/>
    <x v="11"/>
    <n v="11"/>
    <x v="9"/>
    <x v="9"/>
    <x v="1"/>
    <n v="23400"/>
    <n v="20826"/>
    <n v="5226"/>
    <n v="0.25093632958801498"/>
    <x v="0"/>
  </r>
  <r>
    <n v="509"/>
    <x v="0"/>
    <x v="3"/>
    <x v="0"/>
    <x v="3"/>
    <n v="2706"/>
    <n v="3"/>
    <n v="7"/>
    <n v="2083.62"/>
    <n v="13530"/>
    <x v="11"/>
    <n v="11"/>
    <x v="9"/>
    <x v="9"/>
    <x v="1"/>
    <n v="18942"/>
    <n v="16858.38"/>
    <n v="3328.380000000001"/>
    <n v="0.19743178170144468"/>
    <x v="2"/>
  </r>
  <r>
    <n v="510"/>
    <x v="0"/>
    <x v="1"/>
    <x v="1"/>
    <x v="3"/>
    <n v="766"/>
    <n v="5"/>
    <n v="350"/>
    <n v="29491"/>
    <n v="199160"/>
    <x v="0"/>
    <n v="1"/>
    <x v="0"/>
    <x v="0"/>
    <x v="0"/>
    <n v="268100"/>
    <n v="238609"/>
    <n v="39449"/>
    <n v="0.1653290529695024"/>
    <x v="2"/>
  </r>
  <r>
    <n v="511"/>
    <x v="0"/>
    <x v="1"/>
    <x v="1"/>
    <x v="3"/>
    <n v="2992"/>
    <n v="5"/>
    <n v="20"/>
    <n v="6582.4"/>
    <n v="29920"/>
    <x v="7"/>
    <n v="10"/>
    <x v="7"/>
    <x v="7"/>
    <x v="1"/>
    <n v="59840"/>
    <n v="53257.599999999999"/>
    <n v="23337.599999999999"/>
    <n v="0.4382022471910112"/>
    <x v="0"/>
  </r>
  <r>
    <n v="512"/>
    <x v="1"/>
    <x v="3"/>
    <x v="1"/>
    <x v="3"/>
    <n v="2157"/>
    <n v="5"/>
    <n v="15"/>
    <n v="3559.05"/>
    <n v="21570"/>
    <x v="2"/>
    <n v="12"/>
    <x v="2"/>
    <x v="2"/>
    <x v="0"/>
    <n v="32355"/>
    <n v="28795.95"/>
    <n v="7225.9500000000007"/>
    <n v="0.25093632958801498"/>
    <x v="0"/>
  </r>
  <r>
    <n v="513"/>
    <x v="4"/>
    <x v="0"/>
    <x v="2"/>
    <x v="3"/>
    <n v="873"/>
    <n v="10"/>
    <n v="300"/>
    <n v="28809"/>
    <n v="218250"/>
    <x v="0"/>
    <n v="1"/>
    <x v="0"/>
    <x v="0"/>
    <x v="0"/>
    <n v="261900"/>
    <n v="233091"/>
    <n v="14841"/>
    <n v="6.3670411985018729E-2"/>
    <x v="1"/>
  </r>
  <r>
    <n v="514"/>
    <x v="0"/>
    <x v="3"/>
    <x v="2"/>
    <x v="3"/>
    <n v="1122"/>
    <n v="10"/>
    <n v="20"/>
    <n v="2468.4"/>
    <n v="11220"/>
    <x v="3"/>
    <n v="3"/>
    <x v="3"/>
    <x v="3"/>
    <x v="0"/>
    <n v="22440"/>
    <n v="19971.599999999999"/>
    <n v="8751.5999999999985"/>
    <n v="0.4382022471910112"/>
    <x v="0"/>
  </r>
  <r>
    <n v="515"/>
    <x v="0"/>
    <x v="0"/>
    <x v="2"/>
    <x v="3"/>
    <n v="2104.5"/>
    <n v="10"/>
    <n v="350"/>
    <n v="81023.25"/>
    <n v="547170"/>
    <x v="4"/>
    <n v="7"/>
    <x v="4"/>
    <x v="4"/>
    <x v="0"/>
    <n v="736575"/>
    <n v="655551.75"/>
    <n v="108381.75"/>
    <n v="0.1653290529695024"/>
    <x v="2"/>
  </r>
  <r>
    <n v="516"/>
    <x v="2"/>
    <x v="0"/>
    <x v="2"/>
    <x v="3"/>
    <n v="4026"/>
    <n v="10"/>
    <n v="12"/>
    <n v="5314.32"/>
    <n v="12078"/>
    <x v="4"/>
    <n v="7"/>
    <x v="4"/>
    <x v="4"/>
    <x v="0"/>
    <n v="48312"/>
    <n v="42997.68"/>
    <n v="30919.68"/>
    <n v="0.7191011235955056"/>
    <x v="0"/>
  </r>
  <r>
    <n v="517"/>
    <x v="2"/>
    <x v="2"/>
    <x v="2"/>
    <x v="3"/>
    <n v="2425.5"/>
    <n v="10"/>
    <n v="12"/>
    <n v="3201.66"/>
    <n v="7276.5"/>
    <x v="4"/>
    <n v="7"/>
    <x v="4"/>
    <x v="4"/>
    <x v="0"/>
    <n v="29106"/>
    <n v="25904.34"/>
    <n v="18627.84"/>
    <n v="0.7191011235955056"/>
    <x v="0"/>
  </r>
  <r>
    <n v="518"/>
    <x v="0"/>
    <x v="0"/>
    <x v="2"/>
    <x v="3"/>
    <n v="2394"/>
    <n v="10"/>
    <n v="20"/>
    <n v="5266.8"/>
    <n v="23940"/>
    <x v="5"/>
    <n v="8"/>
    <x v="5"/>
    <x v="5"/>
    <x v="0"/>
    <n v="47880"/>
    <n v="42613.2"/>
    <n v="18673.199999999997"/>
    <n v="0.4382022471910112"/>
    <x v="0"/>
  </r>
  <r>
    <n v="519"/>
    <x v="1"/>
    <x v="3"/>
    <x v="2"/>
    <x v="3"/>
    <n v="1984"/>
    <n v="10"/>
    <n v="15"/>
    <n v="3273.6"/>
    <n v="19840"/>
    <x v="5"/>
    <n v="8"/>
    <x v="5"/>
    <x v="5"/>
    <x v="0"/>
    <n v="29760"/>
    <n v="26486.400000000001"/>
    <n v="6646.4000000000015"/>
    <n v="0.25093632958801504"/>
    <x v="0"/>
  </r>
  <r>
    <n v="520"/>
    <x v="3"/>
    <x v="2"/>
    <x v="2"/>
    <x v="3"/>
    <n v="2441"/>
    <n v="10"/>
    <n v="125"/>
    <n v="33563.75"/>
    <n v="292920"/>
    <x v="10"/>
    <n v="10"/>
    <x v="7"/>
    <x v="7"/>
    <x v="0"/>
    <n v="305125"/>
    <n v="271561.25"/>
    <n v="-21358.75"/>
    <n v="-7.8651685393258425E-2"/>
    <x v="3"/>
  </r>
  <r>
    <n v="521"/>
    <x v="0"/>
    <x v="1"/>
    <x v="2"/>
    <x v="3"/>
    <n v="2992"/>
    <n v="10"/>
    <n v="20"/>
    <n v="6582.4"/>
    <n v="29920"/>
    <x v="7"/>
    <n v="10"/>
    <x v="7"/>
    <x v="7"/>
    <x v="1"/>
    <n v="59840"/>
    <n v="53257.599999999999"/>
    <n v="23337.599999999999"/>
    <n v="0.4382022471910112"/>
    <x v="0"/>
  </r>
  <r>
    <n v="522"/>
    <x v="4"/>
    <x v="0"/>
    <x v="2"/>
    <x v="3"/>
    <n v="1366"/>
    <n v="10"/>
    <n v="300"/>
    <n v="45078"/>
    <n v="341500"/>
    <x v="15"/>
    <n v="11"/>
    <x v="9"/>
    <x v="9"/>
    <x v="0"/>
    <n v="409800"/>
    <n v="364722"/>
    <n v="23222"/>
    <n v="6.3670411985018729E-2"/>
    <x v="1"/>
  </r>
  <r>
    <n v="523"/>
    <x v="0"/>
    <x v="2"/>
    <x v="3"/>
    <x v="3"/>
    <n v="2805"/>
    <n v="120"/>
    <n v="20"/>
    <n v="6171"/>
    <n v="28050"/>
    <x v="9"/>
    <n v="9"/>
    <x v="6"/>
    <x v="6"/>
    <x v="1"/>
    <n v="56100"/>
    <n v="49929"/>
    <n v="21879"/>
    <n v="0.43820224719101125"/>
    <x v="0"/>
  </r>
  <r>
    <n v="524"/>
    <x v="1"/>
    <x v="3"/>
    <x v="3"/>
    <x v="3"/>
    <n v="655"/>
    <n v="120"/>
    <n v="15"/>
    <n v="1080.75"/>
    <n v="6550"/>
    <x v="9"/>
    <n v="9"/>
    <x v="6"/>
    <x v="6"/>
    <x v="1"/>
    <n v="9825"/>
    <n v="8744.25"/>
    <n v="2194.25"/>
    <n v="0.25093632958801498"/>
    <x v="0"/>
  </r>
  <r>
    <n v="525"/>
    <x v="0"/>
    <x v="3"/>
    <x v="3"/>
    <x v="3"/>
    <n v="344"/>
    <n v="120"/>
    <n v="350"/>
    <n v="13244"/>
    <n v="89440"/>
    <x v="7"/>
    <n v="10"/>
    <x v="7"/>
    <x v="7"/>
    <x v="1"/>
    <n v="120400"/>
    <n v="107156"/>
    <n v="17716"/>
    <n v="0.1653290529695024"/>
    <x v="2"/>
  </r>
  <r>
    <n v="526"/>
    <x v="0"/>
    <x v="0"/>
    <x v="3"/>
    <x v="3"/>
    <n v="1808"/>
    <n v="120"/>
    <n v="7"/>
    <n v="1392.16"/>
    <n v="9040"/>
    <x v="15"/>
    <n v="11"/>
    <x v="9"/>
    <x v="9"/>
    <x v="0"/>
    <n v="12656"/>
    <n v="11263.84"/>
    <n v="2223.84"/>
    <n v="0.19743178170144463"/>
    <x v="2"/>
  </r>
  <r>
    <n v="527"/>
    <x v="2"/>
    <x v="2"/>
    <x v="4"/>
    <x v="3"/>
    <n v="1734"/>
    <n v="250"/>
    <n v="12"/>
    <n v="2288.88"/>
    <n v="5202"/>
    <x v="0"/>
    <n v="1"/>
    <x v="0"/>
    <x v="0"/>
    <x v="0"/>
    <n v="20808"/>
    <n v="18519.12"/>
    <n v="13317.119999999999"/>
    <n v="0.7191011235955056"/>
    <x v="0"/>
  </r>
  <r>
    <n v="528"/>
    <x v="3"/>
    <x v="3"/>
    <x v="4"/>
    <x v="3"/>
    <n v="554"/>
    <n v="250"/>
    <n v="125"/>
    <n v="7617.5"/>
    <n v="66480"/>
    <x v="0"/>
    <n v="1"/>
    <x v="0"/>
    <x v="0"/>
    <x v="0"/>
    <n v="69250"/>
    <n v="61632.5"/>
    <n v="-4847.5"/>
    <n v="-7.8651685393258425E-2"/>
    <x v="3"/>
  </r>
  <r>
    <n v="529"/>
    <x v="0"/>
    <x v="0"/>
    <x v="4"/>
    <x v="3"/>
    <n v="2935"/>
    <n v="250"/>
    <n v="20"/>
    <n v="6457"/>
    <n v="29350"/>
    <x v="11"/>
    <n v="11"/>
    <x v="9"/>
    <x v="9"/>
    <x v="1"/>
    <n v="58700"/>
    <n v="52243"/>
    <n v="22893"/>
    <n v="0.43820224719101125"/>
    <x v="0"/>
  </r>
  <r>
    <n v="530"/>
    <x v="3"/>
    <x v="1"/>
    <x v="5"/>
    <x v="3"/>
    <n v="3165"/>
    <n v="260"/>
    <n v="125"/>
    <n v="43518.75"/>
    <n v="379800"/>
    <x v="0"/>
    <n v="1"/>
    <x v="0"/>
    <x v="0"/>
    <x v="0"/>
    <n v="395625"/>
    <n v="352106.25"/>
    <n v="-27693.75"/>
    <n v="-7.8651685393258425E-2"/>
    <x v="3"/>
  </r>
  <r>
    <n v="531"/>
    <x v="0"/>
    <x v="3"/>
    <x v="5"/>
    <x v="3"/>
    <n v="2629"/>
    <n v="260"/>
    <n v="20"/>
    <n v="5783.8"/>
    <n v="26290"/>
    <x v="0"/>
    <n v="1"/>
    <x v="0"/>
    <x v="0"/>
    <x v="0"/>
    <n v="52580"/>
    <n v="46796.2"/>
    <n v="20506.199999999997"/>
    <n v="0.4382022471910112"/>
    <x v="0"/>
  </r>
  <r>
    <n v="532"/>
    <x v="3"/>
    <x v="2"/>
    <x v="5"/>
    <x v="3"/>
    <n v="1433"/>
    <n v="260"/>
    <n v="125"/>
    <n v="19703.75"/>
    <n v="171960"/>
    <x v="14"/>
    <n v="5"/>
    <x v="11"/>
    <x v="11"/>
    <x v="0"/>
    <n v="179125"/>
    <n v="159421.25"/>
    <n v="-12538.75"/>
    <n v="-7.8651685393258425E-2"/>
    <x v="3"/>
  </r>
  <r>
    <n v="533"/>
    <x v="3"/>
    <x v="3"/>
    <x v="5"/>
    <x v="3"/>
    <n v="947"/>
    <n v="260"/>
    <n v="125"/>
    <n v="13021.25"/>
    <n v="113640"/>
    <x v="9"/>
    <n v="9"/>
    <x v="6"/>
    <x v="6"/>
    <x v="1"/>
    <n v="118375"/>
    <n v="105353.75"/>
    <n v="-8286.25"/>
    <n v="-7.8651685393258425E-2"/>
    <x v="3"/>
  </r>
  <r>
    <n v="534"/>
    <x v="0"/>
    <x v="3"/>
    <x v="5"/>
    <x v="3"/>
    <n v="344"/>
    <n v="260"/>
    <n v="350"/>
    <n v="13244"/>
    <n v="89440"/>
    <x v="7"/>
    <n v="10"/>
    <x v="7"/>
    <x v="7"/>
    <x v="1"/>
    <n v="120400"/>
    <n v="107156"/>
    <n v="17716"/>
    <n v="0.1653290529695024"/>
    <x v="2"/>
  </r>
  <r>
    <n v="535"/>
    <x v="1"/>
    <x v="3"/>
    <x v="5"/>
    <x v="3"/>
    <n v="2157"/>
    <n v="260"/>
    <n v="15"/>
    <n v="3559.05"/>
    <n v="21570"/>
    <x v="2"/>
    <n v="12"/>
    <x v="2"/>
    <x v="2"/>
    <x v="0"/>
    <n v="32355"/>
    <n v="28795.95"/>
    <n v="7225.9500000000007"/>
    <n v="0.25093632958801498"/>
    <x v="0"/>
  </r>
  <r>
    <n v="536"/>
    <x v="0"/>
    <x v="4"/>
    <x v="2"/>
    <x v="3"/>
    <n v="380"/>
    <n v="10"/>
    <n v="7"/>
    <n v="292.60000000000002"/>
    <n v="1900"/>
    <x v="9"/>
    <n v="9"/>
    <x v="6"/>
    <x v="6"/>
    <x v="1"/>
    <n v="2660"/>
    <n v="2367.4"/>
    <n v="467.40000000000009"/>
    <n v="0.19743178170144465"/>
    <x v="2"/>
  </r>
  <r>
    <n v="537"/>
    <x v="0"/>
    <x v="3"/>
    <x v="0"/>
    <x v="3"/>
    <n v="886"/>
    <n v="3"/>
    <n v="350"/>
    <n v="37212"/>
    <n v="230360"/>
    <x v="1"/>
    <n v="6"/>
    <x v="1"/>
    <x v="1"/>
    <x v="0"/>
    <n v="310100"/>
    <n v="272888"/>
    <n v="42528"/>
    <n v="0.15584415584415584"/>
    <x v="2"/>
  </r>
  <r>
    <n v="538"/>
    <x v="3"/>
    <x v="0"/>
    <x v="0"/>
    <x v="3"/>
    <n v="2416"/>
    <n v="3"/>
    <n v="125"/>
    <n v="36240"/>
    <n v="289920"/>
    <x v="9"/>
    <n v="9"/>
    <x v="6"/>
    <x v="6"/>
    <x v="1"/>
    <n v="302000"/>
    <n v="265760"/>
    <n v="-24160"/>
    <n v="-9.0909090909090912E-2"/>
    <x v="3"/>
  </r>
  <r>
    <n v="539"/>
    <x v="3"/>
    <x v="3"/>
    <x v="0"/>
    <x v="3"/>
    <n v="2156"/>
    <n v="3"/>
    <n v="125"/>
    <n v="32340"/>
    <n v="258720"/>
    <x v="10"/>
    <n v="10"/>
    <x v="7"/>
    <x v="7"/>
    <x v="0"/>
    <n v="269500"/>
    <n v="237160"/>
    <n v="-21560"/>
    <n v="-9.0909090909090912E-2"/>
    <x v="3"/>
  </r>
  <r>
    <n v="540"/>
    <x v="1"/>
    <x v="0"/>
    <x v="0"/>
    <x v="3"/>
    <n v="2689"/>
    <n v="3"/>
    <n v="15"/>
    <n v="4840.2"/>
    <n v="26890"/>
    <x v="15"/>
    <n v="11"/>
    <x v="9"/>
    <x v="9"/>
    <x v="0"/>
    <n v="40335"/>
    <n v="35494.800000000003"/>
    <n v="8604.8000000000029"/>
    <n v="0.24242424242424249"/>
    <x v="0"/>
  </r>
  <r>
    <n v="541"/>
    <x v="1"/>
    <x v="4"/>
    <x v="1"/>
    <x v="3"/>
    <n v="677"/>
    <n v="5"/>
    <n v="15"/>
    <n v="1218.5999999999999"/>
    <n v="6770"/>
    <x v="3"/>
    <n v="3"/>
    <x v="3"/>
    <x v="3"/>
    <x v="0"/>
    <n v="10155"/>
    <n v="8936.4"/>
    <n v="2166.3999999999996"/>
    <n v="0.2424242424242424"/>
    <x v="0"/>
  </r>
  <r>
    <n v="542"/>
    <x v="4"/>
    <x v="2"/>
    <x v="1"/>
    <x v="3"/>
    <n v="1773"/>
    <n v="5"/>
    <n v="300"/>
    <n v="63828"/>
    <n v="443250"/>
    <x v="13"/>
    <n v="4"/>
    <x v="10"/>
    <x v="10"/>
    <x v="0"/>
    <n v="531900"/>
    <n v="468072"/>
    <n v="24822"/>
    <n v="5.3030303030303032E-2"/>
    <x v="1"/>
  </r>
  <r>
    <n v="543"/>
    <x v="0"/>
    <x v="3"/>
    <x v="1"/>
    <x v="3"/>
    <n v="2420"/>
    <n v="5"/>
    <n v="7"/>
    <n v="2032.8"/>
    <n v="12100"/>
    <x v="6"/>
    <n v="9"/>
    <x v="6"/>
    <x v="6"/>
    <x v="0"/>
    <n v="16940"/>
    <n v="14907.2"/>
    <n v="2807.2000000000007"/>
    <n v="0.18831168831168835"/>
    <x v="2"/>
  </r>
  <r>
    <n v="544"/>
    <x v="0"/>
    <x v="0"/>
    <x v="1"/>
    <x v="3"/>
    <n v="2734"/>
    <n v="5"/>
    <n v="7"/>
    <n v="2296.56"/>
    <n v="13670"/>
    <x v="10"/>
    <n v="10"/>
    <x v="7"/>
    <x v="7"/>
    <x v="0"/>
    <n v="19138"/>
    <n v="16841.439999999999"/>
    <n v="3171.4399999999987"/>
    <n v="0.18831168831168824"/>
    <x v="2"/>
  </r>
  <r>
    <n v="545"/>
    <x v="0"/>
    <x v="3"/>
    <x v="1"/>
    <x v="3"/>
    <n v="1715"/>
    <n v="5"/>
    <n v="20"/>
    <n v="4116"/>
    <n v="17150"/>
    <x v="7"/>
    <n v="10"/>
    <x v="7"/>
    <x v="7"/>
    <x v="1"/>
    <n v="34300"/>
    <n v="30184"/>
    <n v="13034"/>
    <n v="0.43181818181818182"/>
    <x v="0"/>
  </r>
  <r>
    <n v="546"/>
    <x v="4"/>
    <x v="2"/>
    <x v="1"/>
    <x v="3"/>
    <n v="1186"/>
    <n v="5"/>
    <n v="300"/>
    <n v="42696"/>
    <n v="296500"/>
    <x v="12"/>
    <n v="12"/>
    <x v="2"/>
    <x v="2"/>
    <x v="1"/>
    <n v="355800"/>
    <n v="313104"/>
    <n v="16604"/>
    <n v="5.3030303030303032E-2"/>
    <x v="1"/>
  </r>
  <r>
    <n v="547"/>
    <x v="4"/>
    <x v="4"/>
    <x v="2"/>
    <x v="3"/>
    <n v="3495"/>
    <n v="10"/>
    <n v="300"/>
    <n v="125820"/>
    <n v="873750"/>
    <x v="0"/>
    <n v="1"/>
    <x v="0"/>
    <x v="0"/>
    <x v="0"/>
    <n v="1048500"/>
    <n v="922680"/>
    <n v="48930"/>
    <n v="5.3030303030303032E-2"/>
    <x v="1"/>
  </r>
  <r>
    <n v="548"/>
    <x v="0"/>
    <x v="3"/>
    <x v="2"/>
    <x v="3"/>
    <n v="886"/>
    <n v="10"/>
    <n v="350"/>
    <n v="37212"/>
    <n v="230360"/>
    <x v="1"/>
    <n v="6"/>
    <x v="1"/>
    <x v="1"/>
    <x v="0"/>
    <n v="310100"/>
    <n v="272888"/>
    <n v="42528"/>
    <n v="0.15584415584415584"/>
    <x v="2"/>
  </r>
  <r>
    <n v="549"/>
    <x v="3"/>
    <x v="3"/>
    <x v="2"/>
    <x v="3"/>
    <n v="2156"/>
    <n v="10"/>
    <n v="125"/>
    <n v="32340"/>
    <n v="258720"/>
    <x v="10"/>
    <n v="10"/>
    <x v="7"/>
    <x v="7"/>
    <x v="0"/>
    <n v="269500"/>
    <n v="237160"/>
    <n v="-21560"/>
    <n v="-9.0909090909090912E-2"/>
    <x v="3"/>
  </r>
  <r>
    <n v="550"/>
    <x v="0"/>
    <x v="3"/>
    <x v="2"/>
    <x v="3"/>
    <n v="905"/>
    <n v="10"/>
    <n v="20"/>
    <n v="2172"/>
    <n v="9050"/>
    <x v="10"/>
    <n v="10"/>
    <x v="7"/>
    <x v="7"/>
    <x v="0"/>
    <n v="18100"/>
    <n v="15928"/>
    <n v="6878"/>
    <n v="0.43181818181818182"/>
    <x v="0"/>
  </r>
  <r>
    <n v="551"/>
    <x v="0"/>
    <x v="3"/>
    <x v="2"/>
    <x v="3"/>
    <n v="1715"/>
    <n v="10"/>
    <n v="20"/>
    <n v="4116"/>
    <n v="17150"/>
    <x v="7"/>
    <n v="10"/>
    <x v="7"/>
    <x v="7"/>
    <x v="1"/>
    <n v="34300"/>
    <n v="30184"/>
    <n v="13034"/>
    <n v="0.43181818181818182"/>
    <x v="0"/>
  </r>
  <r>
    <n v="552"/>
    <x v="0"/>
    <x v="2"/>
    <x v="2"/>
    <x v="3"/>
    <n v="1594"/>
    <n v="10"/>
    <n v="350"/>
    <n v="66948"/>
    <n v="414440"/>
    <x v="15"/>
    <n v="11"/>
    <x v="9"/>
    <x v="9"/>
    <x v="0"/>
    <n v="557900"/>
    <n v="490952"/>
    <n v="76512"/>
    <n v="0.15584415584415584"/>
    <x v="2"/>
  </r>
  <r>
    <n v="553"/>
    <x v="4"/>
    <x v="1"/>
    <x v="2"/>
    <x v="3"/>
    <n v="1359"/>
    <n v="10"/>
    <n v="300"/>
    <n v="48924"/>
    <n v="339750"/>
    <x v="15"/>
    <n v="11"/>
    <x v="9"/>
    <x v="9"/>
    <x v="0"/>
    <n v="407700"/>
    <n v="358776"/>
    <n v="19026"/>
    <n v="5.3030303030303032E-2"/>
    <x v="1"/>
  </r>
  <r>
    <n v="554"/>
    <x v="4"/>
    <x v="3"/>
    <x v="2"/>
    <x v="3"/>
    <n v="2150"/>
    <n v="10"/>
    <n v="300"/>
    <n v="77400"/>
    <n v="537500"/>
    <x v="15"/>
    <n v="11"/>
    <x v="9"/>
    <x v="9"/>
    <x v="0"/>
    <n v="645000"/>
    <n v="567600"/>
    <n v="30100"/>
    <n v="5.3030303030303032E-2"/>
    <x v="1"/>
  </r>
  <r>
    <n v="555"/>
    <x v="0"/>
    <x v="3"/>
    <x v="2"/>
    <x v="3"/>
    <n v="1197"/>
    <n v="10"/>
    <n v="350"/>
    <n v="50274"/>
    <n v="311220"/>
    <x v="15"/>
    <n v="11"/>
    <x v="9"/>
    <x v="9"/>
    <x v="0"/>
    <n v="418950"/>
    <n v="368676"/>
    <n v="57456"/>
    <n v="0.15584415584415584"/>
    <x v="2"/>
  </r>
  <r>
    <n v="556"/>
    <x v="1"/>
    <x v="3"/>
    <x v="2"/>
    <x v="3"/>
    <n v="380"/>
    <n v="10"/>
    <n v="15"/>
    <n v="684"/>
    <n v="3800"/>
    <x v="12"/>
    <n v="12"/>
    <x v="2"/>
    <x v="2"/>
    <x v="1"/>
    <n v="5700"/>
    <n v="5016"/>
    <n v="1216"/>
    <n v="0.24242424242424243"/>
    <x v="0"/>
  </r>
  <r>
    <n v="557"/>
    <x v="0"/>
    <x v="3"/>
    <x v="2"/>
    <x v="3"/>
    <n v="1233"/>
    <n v="10"/>
    <n v="20"/>
    <n v="2959.2"/>
    <n v="12330"/>
    <x v="2"/>
    <n v="12"/>
    <x v="2"/>
    <x v="2"/>
    <x v="0"/>
    <n v="24660"/>
    <n v="21700.799999999999"/>
    <n v="9370.7999999999993"/>
    <n v="0.43181818181818182"/>
    <x v="0"/>
  </r>
  <r>
    <n v="558"/>
    <x v="0"/>
    <x v="3"/>
    <x v="3"/>
    <x v="3"/>
    <n v="1395"/>
    <n v="120"/>
    <n v="350"/>
    <n v="58590"/>
    <n v="362700"/>
    <x v="4"/>
    <n v="7"/>
    <x v="4"/>
    <x v="4"/>
    <x v="0"/>
    <n v="488250"/>
    <n v="429660"/>
    <n v="66960"/>
    <n v="0.15584415584415584"/>
    <x v="2"/>
  </r>
  <r>
    <n v="559"/>
    <x v="0"/>
    <x v="4"/>
    <x v="3"/>
    <x v="3"/>
    <n v="986"/>
    <n v="120"/>
    <n v="350"/>
    <n v="41412"/>
    <n v="256360"/>
    <x v="10"/>
    <n v="10"/>
    <x v="7"/>
    <x v="7"/>
    <x v="0"/>
    <n v="345100"/>
    <n v="303688"/>
    <n v="47328"/>
    <n v="0.15584415584415584"/>
    <x v="2"/>
  </r>
  <r>
    <n v="560"/>
    <x v="0"/>
    <x v="3"/>
    <x v="3"/>
    <x v="3"/>
    <n v="905"/>
    <n v="120"/>
    <n v="20"/>
    <n v="2172"/>
    <n v="9050"/>
    <x v="10"/>
    <n v="10"/>
    <x v="7"/>
    <x v="7"/>
    <x v="0"/>
    <n v="18100"/>
    <n v="15928"/>
    <n v="6878"/>
    <n v="0.43181818181818182"/>
    <x v="0"/>
  </r>
  <r>
    <n v="561"/>
    <x v="2"/>
    <x v="0"/>
    <x v="4"/>
    <x v="3"/>
    <n v="2109"/>
    <n v="250"/>
    <n v="12"/>
    <n v="3036.96"/>
    <n v="6327"/>
    <x v="14"/>
    <n v="5"/>
    <x v="11"/>
    <x v="11"/>
    <x v="0"/>
    <n v="25308"/>
    <n v="22271.040000000001"/>
    <n v="15944.04"/>
    <n v="0.71590909090909094"/>
    <x v="0"/>
  </r>
  <r>
    <n v="562"/>
    <x v="1"/>
    <x v="2"/>
    <x v="4"/>
    <x v="3"/>
    <n v="3874.5"/>
    <n v="250"/>
    <n v="15"/>
    <n v="6974.0999999999995"/>
    <n v="38745"/>
    <x v="4"/>
    <n v="7"/>
    <x v="4"/>
    <x v="4"/>
    <x v="0"/>
    <n v="58117.5"/>
    <n v="51143.4"/>
    <n v="12398.400000000001"/>
    <n v="0.24242424242424246"/>
    <x v="0"/>
  </r>
  <r>
    <n v="563"/>
    <x v="0"/>
    <x v="0"/>
    <x v="4"/>
    <x v="3"/>
    <n v="623"/>
    <n v="250"/>
    <n v="350"/>
    <n v="26166"/>
    <n v="161980"/>
    <x v="9"/>
    <n v="9"/>
    <x v="6"/>
    <x v="6"/>
    <x v="1"/>
    <n v="218050"/>
    <n v="191884"/>
    <n v="29904"/>
    <n v="0.15584415584415584"/>
    <x v="2"/>
  </r>
  <r>
    <n v="564"/>
    <x v="0"/>
    <x v="4"/>
    <x v="4"/>
    <x v="3"/>
    <n v="986"/>
    <n v="250"/>
    <n v="350"/>
    <n v="41412"/>
    <n v="256360"/>
    <x v="10"/>
    <n v="10"/>
    <x v="7"/>
    <x v="7"/>
    <x v="0"/>
    <n v="345100"/>
    <n v="303688"/>
    <n v="47328"/>
    <n v="0.15584415584415584"/>
    <x v="2"/>
  </r>
  <r>
    <n v="565"/>
    <x v="3"/>
    <x v="4"/>
    <x v="4"/>
    <x v="3"/>
    <n v="2387"/>
    <n v="250"/>
    <n v="125"/>
    <n v="35805"/>
    <n v="286440"/>
    <x v="15"/>
    <n v="11"/>
    <x v="9"/>
    <x v="9"/>
    <x v="0"/>
    <n v="298375"/>
    <n v="262570"/>
    <n v="-23870"/>
    <n v="-9.0909090909090912E-2"/>
    <x v="3"/>
  </r>
  <r>
    <n v="566"/>
    <x v="0"/>
    <x v="3"/>
    <x v="4"/>
    <x v="3"/>
    <n v="1233"/>
    <n v="250"/>
    <n v="20"/>
    <n v="2959.2"/>
    <n v="12330"/>
    <x v="2"/>
    <n v="12"/>
    <x v="2"/>
    <x v="2"/>
    <x v="0"/>
    <n v="24660"/>
    <n v="21700.799999999999"/>
    <n v="9370.7999999999993"/>
    <n v="0.43181818181818182"/>
    <x v="0"/>
  </r>
  <r>
    <n v="567"/>
    <x v="0"/>
    <x v="4"/>
    <x v="5"/>
    <x v="3"/>
    <n v="270"/>
    <n v="260"/>
    <n v="350"/>
    <n v="11340"/>
    <n v="70200"/>
    <x v="8"/>
    <n v="2"/>
    <x v="8"/>
    <x v="8"/>
    <x v="0"/>
    <n v="94500"/>
    <n v="83160"/>
    <n v="12960"/>
    <n v="0.15584415584415584"/>
    <x v="2"/>
  </r>
  <r>
    <n v="568"/>
    <x v="0"/>
    <x v="2"/>
    <x v="5"/>
    <x v="3"/>
    <n v="3421.5"/>
    <n v="260"/>
    <n v="7"/>
    <n v="2874.06"/>
    <n v="17107.5"/>
    <x v="4"/>
    <n v="7"/>
    <x v="4"/>
    <x v="4"/>
    <x v="0"/>
    <n v="23950.5"/>
    <n v="21076.44"/>
    <n v="3968.9399999999987"/>
    <n v="0.18831168831168826"/>
    <x v="2"/>
  </r>
  <r>
    <n v="569"/>
    <x v="0"/>
    <x v="0"/>
    <x v="5"/>
    <x v="3"/>
    <n v="2734"/>
    <n v="260"/>
    <n v="7"/>
    <n v="2296.56"/>
    <n v="13670"/>
    <x v="10"/>
    <n v="10"/>
    <x v="7"/>
    <x v="7"/>
    <x v="0"/>
    <n v="19138"/>
    <n v="16841.439999999999"/>
    <n v="3171.4399999999987"/>
    <n v="0.18831168831168824"/>
    <x v="2"/>
  </r>
  <r>
    <n v="570"/>
    <x v="1"/>
    <x v="4"/>
    <x v="5"/>
    <x v="3"/>
    <n v="2548"/>
    <n v="260"/>
    <n v="15"/>
    <n v="4586.3999999999996"/>
    <n v="25480"/>
    <x v="11"/>
    <n v="11"/>
    <x v="9"/>
    <x v="9"/>
    <x v="1"/>
    <n v="38220"/>
    <n v="33633.599999999999"/>
    <n v="8153.5999999999985"/>
    <n v="0.2424242424242424"/>
    <x v="0"/>
  </r>
  <r>
    <n v="571"/>
    <x v="0"/>
    <x v="2"/>
    <x v="0"/>
    <x v="3"/>
    <n v="2521.5"/>
    <n v="3"/>
    <n v="20"/>
    <n v="6051.6"/>
    <n v="25215"/>
    <x v="0"/>
    <n v="1"/>
    <x v="0"/>
    <x v="0"/>
    <x v="0"/>
    <n v="50430"/>
    <n v="44378.400000000001"/>
    <n v="19163.400000000001"/>
    <n v="0.43181818181818182"/>
    <x v="0"/>
  </r>
  <r>
    <n v="572"/>
    <x v="2"/>
    <x v="3"/>
    <x v="1"/>
    <x v="3"/>
    <n v="2661"/>
    <n v="5"/>
    <n v="12"/>
    <n v="3831.84"/>
    <n v="7983"/>
    <x v="14"/>
    <n v="5"/>
    <x v="11"/>
    <x v="11"/>
    <x v="0"/>
    <n v="31932"/>
    <n v="28100.16"/>
    <n v="20117.16"/>
    <n v="0.71590909090909094"/>
    <x v="0"/>
  </r>
  <r>
    <n v="573"/>
    <x v="0"/>
    <x v="1"/>
    <x v="2"/>
    <x v="3"/>
    <n v="1531"/>
    <n v="10"/>
    <n v="20"/>
    <n v="3674.4"/>
    <n v="15310"/>
    <x v="2"/>
    <n v="12"/>
    <x v="2"/>
    <x v="2"/>
    <x v="0"/>
    <n v="30620"/>
    <n v="26945.599999999999"/>
    <n v="11635.599999999999"/>
    <n v="0.43181818181818177"/>
    <x v="0"/>
  </r>
  <r>
    <n v="574"/>
    <x v="0"/>
    <x v="2"/>
    <x v="4"/>
    <x v="3"/>
    <n v="1491"/>
    <n v="250"/>
    <n v="7"/>
    <n v="1252.44"/>
    <n v="7455"/>
    <x v="3"/>
    <n v="3"/>
    <x v="3"/>
    <x v="3"/>
    <x v="0"/>
    <n v="10437"/>
    <n v="9184.56"/>
    <n v="1729.5599999999995"/>
    <n v="0.18831168831168826"/>
    <x v="2"/>
  </r>
  <r>
    <n v="575"/>
    <x v="0"/>
    <x v="1"/>
    <x v="4"/>
    <x v="3"/>
    <n v="1531"/>
    <n v="250"/>
    <n v="20"/>
    <n v="3674.4"/>
    <n v="15310"/>
    <x v="2"/>
    <n v="12"/>
    <x v="2"/>
    <x v="2"/>
    <x v="0"/>
    <n v="30620"/>
    <n v="26945.599999999999"/>
    <n v="11635.599999999999"/>
    <n v="0.43181818181818177"/>
    <x v="0"/>
  </r>
  <r>
    <n v="576"/>
    <x v="2"/>
    <x v="0"/>
    <x v="5"/>
    <x v="3"/>
    <n v="2761"/>
    <n v="260"/>
    <n v="12"/>
    <n v="3975.84"/>
    <n v="8283"/>
    <x v="9"/>
    <n v="9"/>
    <x v="6"/>
    <x v="6"/>
    <x v="1"/>
    <n v="33132"/>
    <n v="29156.16"/>
    <n v="20873.16"/>
    <n v="0.71590909090909094"/>
    <x v="0"/>
  </r>
  <r>
    <n v="577"/>
    <x v="1"/>
    <x v="4"/>
    <x v="0"/>
    <x v="3"/>
    <n v="2567"/>
    <n v="3"/>
    <n v="15"/>
    <n v="5005.6499999999996"/>
    <n v="25670"/>
    <x v="1"/>
    <n v="6"/>
    <x v="1"/>
    <x v="1"/>
    <x v="0"/>
    <n v="38505"/>
    <n v="33499.35"/>
    <n v="7829.3499999999985"/>
    <n v="0.23371647509578541"/>
    <x v="0"/>
  </r>
  <r>
    <n v="578"/>
    <x v="1"/>
    <x v="4"/>
    <x v="4"/>
    <x v="3"/>
    <n v="2567"/>
    <n v="250"/>
    <n v="15"/>
    <n v="5005.6499999999996"/>
    <n v="25670"/>
    <x v="1"/>
    <n v="6"/>
    <x v="1"/>
    <x v="1"/>
    <x v="0"/>
    <n v="38505"/>
    <n v="33499.35"/>
    <n v="7829.3499999999985"/>
    <n v="0.23371647509578541"/>
    <x v="0"/>
  </r>
  <r>
    <n v="579"/>
    <x v="0"/>
    <x v="0"/>
    <x v="0"/>
    <x v="3"/>
    <n v="923"/>
    <n v="3"/>
    <n v="350"/>
    <n v="41996.5"/>
    <n v="239980"/>
    <x v="3"/>
    <n v="3"/>
    <x v="3"/>
    <x v="3"/>
    <x v="0"/>
    <n v="323050"/>
    <n v="281053.5"/>
    <n v="41073.5"/>
    <n v="0.14614121510673234"/>
    <x v="2"/>
  </r>
  <r>
    <n v="580"/>
    <x v="0"/>
    <x v="2"/>
    <x v="0"/>
    <x v="3"/>
    <n v="1790"/>
    <n v="3"/>
    <n v="350"/>
    <n v="81445"/>
    <n v="465400"/>
    <x v="3"/>
    <n v="3"/>
    <x v="3"/>
    <x v="3"/>
    <x v="0"/>
    <n v="626500"/>
    <n v="545055"/>
    <n v="79655"/>
    <n v="0.14614121510673234"/>
    <x v="2"/>
  </r>
  <r>
    <n v="581"/>
    <x v="0"/>
    <x v="1"/>
    <x v="0"/>
    <x v="3"/>
    <n v="442"/>
    <n v="3"/>
    <n v="20"/>
    <n v="1149.2"/>
    <n v="4420"/>
    <x v="9"/>
    <n v="9"/>
    <x v="6"/>
    <x v="6"/>
    <x v="1"/>
    <n v="8840"/>
    <n v="7690.8"/>
    <n v="3270.8"/>
    <n v="0.42528735632183912"/>
    <x v="0"/>
  </r>
  <r>
    <n v="582"/>
    <x v="0"/>
    <x v="4"/>
    <x v="1"/>
    <x v="3"/>
    <n v="982.5"/>
    <n v="5"/>
    <n v="350"/>
    <n v="44703.75"/>
    <n v="255450"/>
    <x v="0"/>
    <n v="1"/>
    <x v="0"/>
    <x v="0"/>
    <x v="0"/>
    <n v="343875"/>
    <n v="299171.25"/>
    <n v="43721.25"/>
    <n v="0.14614121510673234"/>
    <x v="2"/>
  </r>
  <r>
    <n v="583"/>
    <x v="0"/>
    <x v="4"/>
    <x v="1"/>
    <x v="3"/>
    <n v="1298"/>
    <n v="5"/>
    <n v="7"/>
    <n v="1181.18"/>
    <n v="6490"/>
    <x v="8"/>
    <n v="2"/>
    <x v="8"/>
    <x v="8"/>
    <x v="0"/>
    <n v="9086"/>
    <n v="7904.82"/>
    <n v="1414.8199999999997"/>
    <n v="0.17898193760262723"/>
    <x v="2"/>
  </r>
  <r>
    <n v="584"/>
    <x v="2"/>
    <x v="3"/>
    <x v="1"/>
    <x v="3"/>
    <n v="604"/>
    <n v="5"/>
    <n v="12"/>
    <n v="942.24"/>
    <n v="1812"/>
    <x v="1"/>
    <n v="6"/>
    <x v="1"/>
    <x v="1"/>
    <x v="0"/>
    <n v="7248"/>
    <n v="6305.76"/>
    <n v="4493.76"/>
    <n v="0.71264367816091956"/>
    <x v="0"/>
  </r>
  <r>
    <n v="585"/>
    <x v="0"/>
    <x v="3"/>
    <x v="1"/>
    <x v="3"/>
    <n v="2255"/>
    <n v="5"/>
    <n v="20"/>
    <n v="5863"/>
    <n v="22550"/>
    <x v="4"/>
    <n v="7"/>
    <x v="4"/>
    <x v="4"/>
    <x v="0"/>
    <n v="45100"/>
    <n v="39237"/>
    <n v="16687"/>
    <n v="0.42528735632183906"/>
    <x v="0"/>
  </r>
  <r>
    <n v="586"/>
    <x v="0"/>
    <x v="0"/>
    <x v="1"/>
    <x v="3"/>
    <n v="1249"/>
    <n v="5"/>
    <n v="20"/>
    <n v="3247.4"/>
    <n v="12490"/>
    <x v="10"/>
    <n v="10"/>
    <x v="7"/>
    <x v="7"/>
    <x v="0"/>
    <n v="24980"/>
    <n v="21732.6"/>
    <n v="9242.5999999999985"/>
    <n v="0.42528735632183906"/>
    <x v="0"/>
  </r>
  <r>
    <n v="587"/>
    <x v="0"/>
    <x v="4"/>
    <x v="2"/>
    <x v="3"/>
    <n v="1438.5"/>
    <n v="10"/>
    <n v="7"/>
    <n v="1309.0350000000001"/>
    <n v="7192.5"/>
    <x v="0"/>
    <n v="1"/>
    <x v="0"/>
    <x v="0"/>
    <x v="0"/>
    <n v="10069.5"/>
    <n v="8760.4650000000001"/>
    <n v="1567.9650000000001"/>
    <n v="0.17898193760262726"/>
    <x v="2"/>
  </r>
  <r>
    <n v="588"/>
    <x v="4"/>
    <x v="1"/>
    <x v="2"/>
    <x v="3"/>
    <n v="807"/>
    <n v="10"/>
    <n v="300"/>
    <n v="31473"/>
    <n v="201750"/>
    <x v="0"/>
    <n v="1"/>
    <x v="0"/>
    <x v="0"/>
    <x v="0"/>
    <n v="242100"/>
    <n v="210627"/>
    <n v="8877"/>
    <n v="4.2145593869731802E-2"/>
    <x v="1"/>
  </r>
  <r>
    <n v="589"/>
    <x v="0"/>
    <x v="4"/>
    <x v="2"/>
    <x v="3"/>
    <n v="2641"/>
    <n v="10"/>
    <n v="20"/>
    <n v="6866.6"/>
    <n v="26410"/>
    <x v="8"/>
    <n v="2"/>
    <x v="8"/>
    <x v="8"/>
    <x v="0"/>
    <n v="52820"/>
    <n v="45953.4"/>
    <n v="19543.400000000001"/>
    <n v="0.42528735632183912"/>
    <x v="0"/>
  </r>
  <r>
    <n v="590"/>
    <x v="0"/>
    <x v="1"/>
    <x v="2"/>
    <x v="3"/>
    <n v="2708"/>
    <n v="10"/>
    <n v="20"/>
    <n v="7040.8"/>
    <n v="27080"/>
    <x v="8"/>
    <n v="2"/>
    <x v="8"/>
    <x v="8"/>
    <x v="0"/>
    <n v="54160"/>
    <n v="47119.199999999997"/>
    <n v="20039.199999999997"/>
    <n v="0.42528735632183906"/>
    <x v="0"/>
  </r>
  <r>
    <n v="591"/>
    <x v="0"/>
    <x v="0"/>
    <x v="2"/>
    <x v="3"/>
    <n v="2632"/>
    <n v="10"/>
    <n v="350"/>
    <n v="119756"/>
    <n v="684320"/>
    <x v="1"/>
    <n v="6"/>
    <x v="1"/>
    <x v="1"/>
    <x v="0"/>
    <n v="921200"/>
    <n v="801444"/>
    <n v="117124"/>
    <n v="0.14614121510673234"/>
    <x v="2"/>
  </r>
  <r>
    <n v="592"/>
    <x v="3"/>
    <x v="0"/>
    <x v="2"/>
    <x v="3"/>
    <n v="1583"/>
    <n v="10"/>
    <n v="125"/>
    <n v="25723.75"/>
    <n v="189960"/>
    <x v="1"/>
    <n v="6"/>
    <x v="1"/>
    <x v="1"/>
    <x v="0"/>
    <n v="197875"/>
    <n v="172151.25"/>
    <n v="-17808.75"/>
    <n v="-0.10344827586206896"/>
    <x v="3"/>
  </r>
  <r>
    <n v="593"/>
    <x v="2"/>
    <x v="3"/>
    <x v="2"/>
    <x v="3"/>
    <n v="571"/>
    <n v="10"/>
    <n v="12"/>
    <n v="890.76"/>
    <n v="1713"/>
    <x v="4"/>
    <n v="7"/>
    <x v="4"/>
    <x v="4"/>
    <x v="0"/>
    <n v="6852"/>
    <n v="5961.24"/>
    <n v="4248.24"/>
    <n v="0.71264367816091956"/>
    <x v="0"/>
  </r>
  <r>
    <n v="594"/>
    <x v="0"/>
    <x v="2"/>
    <x v="2"/>
    <x v="3"/>
    <n v="2696"/>
    <n v="10"/>
    <n v="7"/>
    <n v="2453.36"/>
    <n v="13480"/>
    <x v="5"/>
    <n v="8"/>
    <x v="5"/>
    <x v="5"/>
    <x v="0"/>
    <n v="18872"/>
    <n v="16418.64"/>
    <n v="2938.6399999999994"/>
    <n v="0.17898193760262723"/>
    <x v="2"/>
  </r>
  <r>
    <n v="595"/>
    <x v="1"/>
    <x v="0"/>
    <x v="2"/>
    <x v="3"/>
    <n v="1565"/>
    <n v="10"/>
    <n v="15"/>
    <n v="3051.75"/>
    <n v="15650"/>
    <x v="10"/>
    <n v="10"/>
    <x v="7"/>
    <x v="7"/>
    <x v="0"/>
    <n v="23475"/>
    <n v="20423.25"/>
    <n v="4773.25"/>
    <n v="0.23371647509578544"/>
    <x v="0"/>
  </r>
  <r>
    <n v="596"/>
    <x v="0"/>
    <x v="0"/>
    <x v="2"/>
    <x v="3"/>
    <n v="1249"/>
    <n v="10"/>
    <n v="20"/>
    <n v="3247.4"/>
    <n v="12490"/>
    <x v="10"/>
    <n v="10"/>
    <x v="7"/>
    <x v="7"/>
    <x v="0"/>
    <n v="24980"/>
    <n v="21732.6"/>
    <n v="9242.5999999999985"/>
    <n v="0.42528735632183906"/>
    <x v="0"/>
  </r>
  <r>
    <n v="597"/>
    <x v="0"/>
    <x v="1"/>
    <x v="2"/>
    <x v="3"/>
    <n v="357"/>
    <n v="10"/>
    <n v="350"/>
    <n v="16243.5"/>
    <n v="92820"/>
    <x v="15"/>
    <n v="11"/>
    <x v="9"/>
    <x v="9"/>
    <x v="0"/>
    <n v="124950"/>
    <n v="108706.5"/>
    <n v="15886.5"/>
    <n v="0.14614121510673234"/>
    <x v="2"/>
  </r>
  <r>
    <n v="598"/>
    <x v="2"/>
    <x v="1"/>
    <x v="2"/>
    <x v="3"/>
    <n v="1013"/>
    <n v="10"/>
    <n v="12"/>
    <n v="1580.28"/>
    <n v="3039"/>
    <x v="2"/>
    <n v="12"/>
    <x v="2"/>
    <x v="2"/>
    <x v="0"/>
    <n v="12156"/>
    <n v="10575.72"/>
    <n v="7536.7199999999993"/>
    <n v="0.71264367816091956"/>
    <x v="0"/>
  </r>
  <r>
    <n v="599"/>
    <x v="1"/>
    <x v="2"/>
    <x v="3"/>
    <x v="3"/>
    <n v="3997.5"/>
    <n v="120"/>
    <n v="15"/>
    <n v="7795.125"/>
    <n v="39975"/>
    <x v="0"/>
    <n v="1"/>
    <x v="0"/>
    <x v="0"/>
    <x v="0"/>
    <n v="59962.5"/>
    <n v="52167.375"/>
    <n v="12192.375"/>
    <n v="0.23371647509578544"/>
    <x v="0"/>
  </r>
  <r>
    <n v="600"/>
    <x v="0"/>
    <x v="0"/>
    <x v="3"/>
    <x v="3"/>
    <n v="2632"/>
    <n v="120"/>
    <n v="350"/>
    <n v="119756"/>
    <n v="684320"/>
    <x v="1"/>
    <n v="6"/>
    <x v="1"/>
    <x v="1"/>
    <x v="0"/>
    <n v="921200"/>
    <n v="801444"/>
    <n v="117124"/>
    <n v="0.14614121510673234"/>
    <x v="2"/>
  </r>
  <r>
    <n v="601"/>
    <x v="0"/>
    <x v="2"/>
    <x v="3"/>
    <x v="3"/>
    <n v="1190"/>
    <n v="120"/>
    <n v="7"/>
    <n v="1082.9000000000001"/>
    <n v="5950"/>
    <x v="1"/>
    <n v="6"/>
    <x v="1"/>
    <x v="1"/>
    <x v="0"/>
    <n v="8330"/>
    <n v="7247.1"/>
    <n v="1297.1000000000004"/>
    <n v="0.17898193760262729"/>
    <x v="2"/>
  </r>
  <r>
    <n v="602"/>
    <x v="2"/>
    <x v="3"/>
    <x v="3"/>
    <x v="3"/>
    <n v="604"/>
    <n v="120"/>
    <n v="12"/>
    <n v="942.24"/>
    <n v="1812"/>
    <x v="1"/>
    <n v="6"/>
    <x v="1"/>
    <x v="1"/>
    <x v="0"/>
    <n v="7248"/>
    <n v="6305.76"/>
    <n v="4493.76"/>
    <n v="0.71264367816091956"/>
    <x v="0"/>
  </r>
  <r>
    <n v="603"/>
    <x v="1"/>
    <x v="1"/>
    <x v="3"/>
    <x v="3"/>
    <n v="660"/>
    <n v="120"/>
    <n v="15"/>
    <n v="1287"/>
    <n v="6600"/>
    <x v="9"/>
    <n v="9"/>
    <x v="6"/>
    <x v="6"/>
    <x v="1"/>
    <n v="9900"/>
    <n v="8613"/>
    <n v="2013"/>
    <n v="0.23371647509578544"/>
    <x v="0"/>
  </r>
  <r>
    <n v="604"/>
    <x v="2"/>
    <x v="3"/>
    <x v="3"/>
    <x v="3"/>
    <n v="410"/>
    <n v="120"/>
    <n v="12"/>
    <n v="639.6"/>
    <n v="1230"/>
    <x v="10"/>
    <n v="10"/>
    <x v="7"/>
    <x v="7"/>
    <x v="0"/>
    <n v="4920"/>
    <n v="4280.3999999999996"/>
    <n v="3050.3999999999996"/>
    <n v="0.71264367816091956"/>
    <x v="0"/>
  </r>
  <r>
    <n v="605"/>
    <x v="4"/>
    <x v="3"/>
    <x v="3"/>
    <x v="3"/>
    <n v="2605"/>
    <n v="120"/>
    <n v="300"/>
    <n v="101595"/>
    <n v="651250"/>
    <x v="11"/>
    <n v="11"/>
    <x v="9"/>
    <x v="9"/>
    <x v="1"/>
    <n v="781500"/>
    <n v="679905"/>
    <n v="28655"/>
    <n v="4.2145593869731802E-2"/>
    <x v="1"/>
  </r>
  <r>
    <n v="606"/>
    <x v="2"/>
    <x v="1"/>
    <x v="3"/>
    <x v="3"/>
    <n v="1013"/>
    <n v="120"/>
    <n v="12"/>
    <n v="1580.28"/>
    <n v="3039"/>
    <x v="2"/>
    <n v="12"/>
    <x v="2"/>
    <x v="2"/>
    <x v="0"/>
    <n v="12156"/>
    <n v="10575.72"/>
    <n v="7536.7199999999993"/>
    <n v="0.71264367816091956"/>
    <x v="0"/>
  </r>
  <r>
    <n v="607"/>
    <x v="3"/>
    <x v="0"/>
    <x v="4"/>
    <x v="3"/>
    <n v="1583"/>
    <n v="250"/>
    <n v="125"/>
    <n v="25723.75"/>
    <n v="189960"/>
    <x v="1"/>
    <n v="6"/>
    <x v="1"/>
    <x v="1"/>
    <x v="0"/>
    <n v="197875"/>
    <n v="172151.25"/>
    <n v="-17808.75"/>
    <n v="-0.10344827586206896"/>
    <x v="3"/>
  </r>
  <r>
    <n v="608"/>
    <x v="1"/>
    <x v="0"/>
    <x v="4"/>
    <x v="3"/>
    <n v="1565"/>
    <n v="250"/>
    <n v="15"/>
    <n v="3051.75"/>
    <n v="15650"/>
    <x v="10"/>
    <n v="10"/>
    <x v="7"/>
    <x v="7"/>
    <x v="0"/>
    <n v="23475"/>
    <n v="20423.25"/>
    <n v="4773.25"/>
    <n v="0.23371647509578544"/>
    <x v="0"/>
  </r>
  <r>
    <n v="609"/>
    <x v="3"/>
    <x v="0"/>
    <x v="5"/>
    <x v="3"/>
    <n v="1659"/>
    <n v="260"/>
    <n v="125"/>
    <n v="26958.75"/>
    <n v="199080"/>
    <x v="0"/>
    <n v="1"/>
    <x v="0"/>
    <x v="0"/>
    <x v="0"/>
    <n v="207375"/>
    <n v="180416.25"/>
    <n v="-18663.75"/>
    <n v="-0.10344827586206896"/>
    <x v="3"/>
  </r>
  <r>
    <n v="610"/>
    <x v="0"/>
    <x v="2"/>
    <x v="5"/>
    <x v="3"/>
    <n v="1190"/>
    <n v="260"/>
    <n v="7"/>
    <n v="1082.9000000000001"/>
    <n v="5950"/>
    <x v="1"/>
    <n v="6"/>
    <x v="1"/>
    <x v="1"/>
    <x v="0"/>
    <n v="8330"/>
    <n v="7247.1"/>
    <n v="1297.1000000000004"/>
    <n v="0.17898193760262729"/>
    <x v="2"/>
  </r>
  <r>
    <n v="611"/>
    <x v="2"/>
    <x v="3"/>
    <x v="5"/>
    <x v="3"/>
    <n v="410"/>
    <n v="260"/>
    <n v="12"/>
    <n v="639.6"/>
    <n v="1230"/>
    <x v="10"/>
    <n v="10"/>
    <x v="7"/>
    <x v="7"/>
    <x v="0"/>
    <n v="4920"/>
    <n v="4280.3999999999996"/>
    <n v="3050.3999999999996"/>
    <n v="0.71264367816091956"/>
    <x v="0"/>
  </r>
  <r>
    <n v="612"/>
    <x v="2"/>
    <x v="1"/>
    <x v="5"/>
    <x v="3"/>
    <n v="1770"/>
    <n v="260"/>
    <n v="12"/>
    <n v="2761.2"/>
    <n v="5310"/>
    <x v="12"/>
    <n v="12"/>
    <x v="2"/>
    <x v="2"/>
    <x v="1"/>
    <n v="21240"/>
    <n v="18478.8"/>
    <n v="13168.8"/>
    <n v="0.71264367816091956"/>
    <x v="0"/>
  </r>
  <r>
    <n v="613"/>
    <x v="0"/>
    <x v="3"/>
    <x v="0"/>
    <x v="3"/>
    <n v="2579"/>
    <n v="3"/>
    <n v="20"/>
    <n v="7221.2"/>
    <n v="25790"/>
    <x v="13"/>
    <n v="4"/>
    <x v="10"/>
    <x v="10"/>
    <x v="0"/>
    <n v="51580"/>
    <n v="44358.8"/>
    <n v="18568.800000000003"/>
    <n v="0.41860465116279072"/>
    <x v="0"/>
  </r>
  <r>
    <n v="614"/>
    <x v="0"/>
    <x v="4"/>
    <x v="0"/>
    <x v="3"/>
    <n v="1743"/>
    <n v="3"/>
    <n v="20"/>
    <n v="4880.3999999999996"/>
    <n v="17430"/>
    <x v="14"/>
    <n v="5"/>
    <x v="11"/>
    <x v="11"/>
    <x v="0"/>
    <n v="34860"/>
    <n v="29979.599999999999"/>
    <n v="12549.599999999999"/>
    <n v="0.41860465116279066"/>
    <x v="0"/>
  </r>
  <r>
    <n v="615"/>
    <x v="0"/>
    <x v="4"/>
    <x v="0"/>
    <x v="3"/>
    <n v="2996"/>
    <n v="3"/>
    <n v="7"/>
    <n v="2936.08"/>
    <n v="14980"/>
    <x v="7"/>
    <n v="10"/>
    <x v="7"/>
    <x v="7"/>
    <x v="1"/>
    <n v="20972"/>
    <n v="18035.919999999998"/>
    <n v="3055.9199999999983"/>
    <n v="0.16943521594684377"/>
    <x v="2"/>
  </r>
  <r>
    <n v="616"/>
    <x v="0"/>
    <x v="1"/>
    <x v="0"/>
    <x v="3"/>
    <n v="280"/>
    <n v="3"/>
    <n v="7"/>
    <n v="274.39999999999998"/>
    <n v="1400"/>
    <x v="2"/>
    <n v="12"/>
    <x v="2"/>
    <x v="2"/>
    <x v="0"/>
    <n v="1960"/>
    <n v="1685.6"/>
    <n v="285.59999999999991"/>
    <n v="0.1694352159468438"/>
    <x v="2"/>
  </r>
  <r>
    <n v="617"/>
    <x v="0"/>
    <x v="2"/>
    <x v="1"/>
    <x v="3"/>
    <n v="293"/>
    <n v="5"/>
    <n v="7"/>
    <n v="287.14"/>
    <n v="1465"/>
    <x v="8"/>
    <n v="2"/>
    <x v="8"/>
    <x v="8"/>
    <x v="0"/>
    <n v="2051"/>
    <n v="1763.8600000000001"/>
    <n v="298.86000000000013"/>
    <n v="0.16943521594684391"/>
    <x v="2"/>
  </r>
  <r>
    <n v="618"/>
    <x v="0"/>
    <x v="4"/>
    <x v="1"/>
    <x v="3"/>
    <n v="2996"/>
    <n v="5"/>
    <n v="7"/>
    <n v="2936.08"/>
    <n v="14980"/>
    <x v="7"/>
    <n v="10"/>
    <x v="7"/>
    <x v="7"/>
    <x v="1"/>
    <n v="20972"/>
    <n v="18035.919999999998"/>
    <n v="3055.9199999999983"/>
    <n v="0.16943521594684377"/>
    <x v="2"/>
  </r>
  <r>
    <n v="619"/>
    <x v="1"/>
    <x v="1"/>
    <x v="2"/>
    <x v="3"/>
    <n v="278"/>
    <n v="10"/>
    <n v="15"/>
    <n v="583.79999999999995"/>
    <n v="2780"/>
    <x v="8"/>
    <n v="2"/>
    <x v="8"/>
    <x v="8"/>
    <x v="0"/>
    <n v="4170"/>
    <n v="3586.2"/>
    <n v="806.19999999999982"/>
    <n v="0.22480620155038755"/>
    <x v="0"/>
  </r>
  <r>
    <n v="620"/>
    <x v="0"/>
    <x v="0"/>
    <x v="2"/>
    <x v="3"/>
    <n v="2428"/>
    <n v="10"/>
    <n v="20"/>
    <n v="6798.4"/>
    <n v="24280"/>
    <x v="3"/>
    <n v="3"/>
    <x v="3"/>
    <x v="3"/>
    <x v="0"/>
    <n v="48560"/>
    <n v="41761.599999999999"/>
    <n v="17481.599999999999"/>
    <n v="0.41860465116279066"/>
    <x v="0"/>
  </r>
  <r>
    <n v="621"/>
    <x v="1"/>
    <x v="4"/>
    <x v="2"/>
    <x v="3"/>
    <n v="1767"/>
    <n v="10"/>
    <n v="15"/>
    <n v="3710.7"/>
    <n v="17670"/>
    <x v="6"/>
    <n v="9"/>
    <x v="6"/>
    <x v="6"/>
    <x v="0"/>
    <n v="26505"/>
    <n v="22794.3"/>
    <n v="5124.2999999999993"/>
    <n v="0.22480620155038758"/>
    <x v="0"/>
  </r>
  <r>
    <n v="622"/>
    <x v="2"/>
    <x v="2"/>
    <x v="2"/>
    <x v="3"/>
    <n v="1393"/>
    <n v="10"/>
    <n v="12"/>
    <n v="2340.2399999999998"/>
    <n v="4179"/>
    <x v="10"/>
    <n v="10"/>
    <x v="7"/>
    <x v="7"/>
    <x v="0"/>
    <n v="16716"/>
    <n v="14375.76"/>
    <n v="10196.76"/>
    <n v="0.70930232558139539"/>
    <x v="0"/>
  </r>
  <r>
    <n v="623"/>
    <x v="0"/>
    <x v="1"/>
    <x v="4"/>
    <x v="3"/>
    <n v="280"/>
    <n v="250"/>
    <n v="7"/>
    <n v="274.39999999999998"/>
    <n v="1400"/>
    <x v="2"/>
    <n v="12"/>
    <x v="2"/>
    <x v="2"/>
    <x v="0"/>
    <n v="1960"/>
    <n v="1685.6"/>
    <n v="285.59999999999991"/>
    <n v="0.1694352159468438"/>
    <x v="2"/>
  </r>
  <r>
    <n v="624"/>
    <x v="2"/>
    <x v="2"/>
    <x v="5"/>
    <x v="3"/>
    <n v="1393"/>
    <n v="260"/>
    <n v="12"/>
    <n v="2340.2399999999998"/>
    <n v="4179"/>
    <x v="10"/>
    <n v="10"/>
    <x v="7"/>
    <x v="7"/>
    <x v="0"/>
    <n v="16716"/>
    <n v="14375.76"/>
    <n v="10196.76"/>
    <n v="0.70930232558139539"/>
    <x v="0"/>
  </r>
  <r>
    <n v="625"/>
    <x v="2"/>
    <x v="4"/>
    <x v="5"/>
    <x v="3"/>
    <n v="2015"/>
    <n v="260"/>
    <n v="12"/>
    <n v="3385.2"/>
    <n v="6045"/>
    <x v="12"/>
    <n v="12"/>
    <x v="2"/>
    <x v="2"/>
    <x v="1"/>
    <n v="24180"/>
    <n v="20794.8"/>
    <n v="14749.8"/>
    <n v="0.70930232558139539"/>
    <x v="0"/>
  </r>
  <r>
    <n v="626"/>
    <x v="4"/>
    <x v="3"/>
    <x v="0"/>
    <x v="3"/>
    <n v="801"/>
    <n v="3"/>
    <n v="300"/>
    <n v="33642"/>
    <n v="200250"/>
    <x v="4"/>
    <n v="7"/>
    <x v="4"/>
    <x v="4"/>
    <x v="0"/>
    <n v="240300"/>
    <n v="206658"/>
    <n v="6408"/>
    <n v="3.1007751937984496E-2"/>
    <x v="1"/>
  </r>
  <r>
    <n v="627"/>
    <x v="3"/>
    <x v="2"/>
    <x v="0"/>
    <x v="3"/>
    <n v="1023"/>
    <n v="3"/>
    <n v="125"/>
    <n v="17902.5"/>
    <n v="122760"/>
    <x v="9"/>
    <n v="9"/>
    <x v="6"/>
    <x v="6"/>
    <x v="1"/>
    <n v="127875"/>
    <n v="109972.5"/>
    <n v="-12787.5"/>
    <n v="-0.11627906976744186"/>
    <x v="3"/>
  </r>
  <r>
    <n v="628"/>
    <x v="4"/>
    <x v="0"/>
    <x v="0"/>
    <x v="3"/>
    <n v="1496"/>
    <n v="3"/>
    <n v="300"/>
    <n v="62832"/>
    <n v="374000"/>
    <x v="10"/>
    <n v="10"/>
    <x v="7"/>
    <x v="7"/>
    <x v="0"/>
    <n v="448800"/>
    <n v="385968"/>
    <n v="11968"/>
    <n v="3.1007751937984496E-2"/>
    <x v="1"/>
  </r>
  <r>
    <n v="629"/>
    <x v="4"/>
    <x v="4"/>
    <x v="0"/>
    <x v="3"/>
    <n v="1010"/>
    <n v="3"/>
    <n v="300"/>
    <n v="42420"/>
    <n v="252500"/>
    <x v="10"/>
    <n v="10"/>
    <x v="7"/>
    <x v="7"/>
    <x v="0"/>
    <n v="303000"/>
    <n v="260580"/>
    <n v="8080"/>
    <n v="3.1007751937984496E-2"/>
    <x v="1"/>
  </r>
  <r>
    <n v="630"/>
    <x v="1"/>
    <x v="1"/>
    <x v="0"/>
    <x v="3"/>
    <n v="1513"/>
    <n v="3"/>
    <n v="15"/>
    <n v="3177.3"/>
    <n v="15130"/>
    <x v="15"/>
    <n v="11"/>
    <x v="9"/>
    <x v="9"/>
    <x v="0"/>
    <n v="22695"/>
    <n v="19517.7"/>
    <n v="4387.7000000000007"/>
    <n v="0.22480620155038764"/>
    <x v="0"/>
  </r>
  <r>
    <n v="631"/>
    <x v="1"/>
    <x v="0"/>
    <x v="0"/>
    <x v="3"/>
    <n v="2300"/>
    <n v="3"/>
    <n v="15"/>
    <n v="4830"/>
    <n v="23000"/>
    <x v="2"/>
    <n v="12"/>
    <x v="2"/>
    <x v="2"/>
    <x v="0"/>
    <n v="34500"/>
    <n v="29670"/>
    <n v="6670"/>
    <n v="0.22480620155038761"/>
    <x v="0"/>
  </r>
  <r>
    <n v="632"/>
    <x v="3"/>
    <x v="3"/>
    <x v="0"/>
    <x v="3"/>
    <n v="2821"/>
    <n v="3"/>
    <n v="125"/>
    <n v="49367.5"/>
    <n v="338520"/>
    <x v="12"/>
    <n v="12"/>
    <x v="2"/>
    <x v="2"/>
    <x v="1"/>
    <n v="352625"/>
    <n v="303257.5"/>
    <n v="-35262.5"/>
    <n v="-0.11627906976744186"/>
    <x v="3"/>
  </r>
  <r>
    <n v="633"/>
    <x v="0"/>
    <x v="0"/>
    <x v="1"/>
    <x v="3"/>
    <n v="2227.5"/>
    <n v="5"/>
    <n v="350"/>
    <n v="109147.5"/>
    <n v="579150"/>
    <x v="0"/>
    <n v="1"/>
    <x v="0"/>
    <x v="0"/>
    <x v="0"/>
    <n v="779625"/>
    <n v="670477.5"/>
    <n v="91327.5"/>
    <n v="0.13621262458471761"/>
    <x v="2"/>
  </r>
  <r>
    <n v="634"/>
    <x v="0"/>
    <x v="1"/>
    <x v="1"/>
    <x v="3"/>
    <n v="1199"/>
    <n v="5"/>
    <n v="350"/>
    <n v="58751"/>
    <n v="311740"/>
    <x v="13"/>
    <n v="4"/>
    <x v="10"/>
    <x v="10"/>
    <x v="0"/>
    <n v="419650"/>
    <n v="360899"/>
    <n v="49159"/>
    <n v="0.13621262458471761"/>
    <x v="2"/>
  </r>
  <r>
    <n v="635"/>
    <x v="0"/>
    <x v="0"/>
    <x v="1"/>
    <x v="3"/>
    <n v="200"/>
    <n v="5"/>
    <n v="350"/>
    <n v="9800"/>
    <n v="52000"/>
    <x v="14"/>
    <n v="5"/>
    <x v="11"/>
    <x v="11"/>
    <x v="0"/>
    <n v="70000"/>
    <n v="60200"/>
    <n v="8200"/>
    <n v="0.13621262458471761"/>
    <x v="2"/>
  </r>
  <r>
    <n v="636"/>
    <x v="0"/>
    <x v="0"/>
    <x v="1"/>
    <x v="3"/>
    <n v="388"/>
    <n v="5"/>
    <n v="7"/>
    <n v="380.24"/>
    <n v="1940"/>
    <x v="6"/>
    <n v="9"/>
    <x v="6"/>
    <x v="6"/>
    <x v="0"/>
    <n v="2716"/>
    <n v="2335.7600000000002"/>
    <n v="395.76000000000022"/>
    <n v="0.16943521594684394"/>
    <x v="2"/>
  </r>
  <r>
    <n v="637"/>
    <x v="0"/>
    <x v="3"/>
    <x v="1"/>
    <x v="3"/>
    <n v="1727"/>
    <n v="5"/>
    <n v="7"/>
    <n v="1692.46"/>
    <n v="8635"/>
    <x v="7"/>
    <n v="10"/>
    <x v="7"/>
    <x v="7"/>
    <x v="1"/>
    <n v="12089"/>
    <n v="10396.540000000001"/>
    <n v="1761.5400000000009"/>
    <n v="0.16943521594684394"/>
    <x v="2"/>
  </r>
  <r>
    <n v="638"/>
    <x v="1"/>
    <x v="0"/>
    <x v="1"/>
    <x v="3"/>
    <n v="2300"/>
    <n v="5"/>
    <n v="15"/>
    <n v="4830"/>
    <n v="23000"/>
    <x v="2"/>
    <n v="12"/>
    <x v="2"/>
    <x v="2"/>
    <x v="0"/>
    <n v="34500"/>
    <n v="29670"/>
    <n v="6670"/>
    <n v="0.22480620155038761"/>
    <x v="0"/>
  </r>
  <r>
    <n v="639"/>
    <x v="0"/>
    <x v="3"/>
    <x v="2"/>
    <x v="3"/>
    <n v="260"/>
    <n v="10"/>
    <n v="20"/>
    <n v="728"/>
    <n v="2600"/>
    <x v="8"/>
    <n v="2"/>
    <x v="8"/>
    <x v="8"/>
    <x v="0"/>
    <n v="5200"/>
    <n v="4472"/>
    <n v="1872"/>
    <n v="0.41860465116279072"/>
    <x v="0"/>
  </r>
  <r>
    <n v="640"/>
    <x v="1"/>
    <x v="0"/>
    <x v="2"/>
    <x v="3"/>
    <n v="2470"/>
    <n v="10"/>
    <n v="15"/>
    <n v="5187"/>
    <n v="24700"/>
    <x v="9"/>
    <n v="9"/>
    <x v="6"/>
    <x v="6"/>
    <x v="1"/>
    <n v="37050"/>
    <n v="31863"/>
    <n v="7163"/>
    <n v="0.22480620155038761"/>
    <x v="0"/>
  </r>
  <r>
    <n v="641"/>
    <x v="1"/>
    <x v="0"/>
    <x v="2"/>
    <x v="3"/>
    <n v="1743"/>
    <n v="10"/>
    <n v="15"/>
    <n v="3660.3"/>
    <n v="17430"/>
    <x v="7"/>
    <n v="10"/>
    <x v="7"/>
    <x v="7"/>
    <x v="1"/>
    <n v="26145"/>
    <n v="22484.7"/>
    <n v="5054.7000000000007"/>
    <n v="0.22480620155038764"/>
    <x v="0"/>
  </r>
  <r>
    <n v="642"/>
    <x v="2"/>
    <x v="4"/>
    <x v="2"/>
    <x v="3"/>
    <n v="2914"/>
    <n v="10"/>
    <n v="12"/>
    <n v="4895.5200000000004"/>
    <n v="8742"/>
    <x v="10"/>
    <n v="10"/>
    <x v="7"/>
    <x v="7"/>
    <x v="0"/>
    <n v="34968"/>
    <n v="30072.48"/>
    <n v="21330.48"/>
    <n v="0.70930232558139539"/>
    <x v="0"/>
  </r>
  <r>
    <n v="643"/>
    <x v="0"/>
    <x v="2"/>
    <x v="2"/>
    <x v="3"/>
    <n v="1731"/>
    <n v="10"/>
    <n v="7"/>
    <n v="1696.38"/>
    <n v="8655"/>
    <x v="10"/>
    <n v="10"/>
    <x v="7"/>
    <x v="7"/>
    <x v="0"/>
    <n v="12117"/>
    <n v="10420.619999999999"/>
    <n v="1765.619999999999"/>
    <n v="0.16943521594684377"/>
    <x v="2"/>
  </r>
  <r>
    <n v="644"/>
    <x v="0"/>
    <x v="0"/>
    <x v="2"/>
    <x v="3"/>
    <n v="700"/>
    <n v="10"/>
    <n v="350"/>
    <n v="34300"/>
    <n v="182000"/>
    <x v="15"/>
    <n v="11"/>
    <x v="9"/>
    <x v="9"/>
    <x v="0"/>
    <n v="245000"/>
    <n v="210700"/>
    <n v="28700"/>
    <n v="0.13621262458471761"/>
    <x v="2"/>
  </r>
  <r>
    <n v="645"/>
    <x v="2"/>
    <x v="0"/>
    <x v="2"/>
    <x v="3"/>
    <n v="2222"/>
    <n v="10"/>
    <n v="12"/>
    <n v="3732.96"/>
    <n v="6666"/>
    <x v="11"/>
    <n v="11"/>
    <x v="9"/>
    <x v="9"/>
    <x v="1"/>
    <n v="26664"/>
    <n v="22931.040000000001"/>
    <n v="16265.04"/>
    <n v="0.70930232558139539"/>
    <x v="0"/>
  </r>
  <r>
    <n v="646"/>
    <x v="0"/>
    <x v="4"/>
    <x v="2"/>
    <x v="3"/>
    <n v="1177"/>
    <n v="10"/>
    <n v="350"/>
    <n v="57673"/>
    <n v="306020"/>
    <x v="15"/>
    <n v="11"/>
    <x v="9"/>
    <x v="9"/>
    <x v="0"/>
    <n v="411950"/>
    <n v="354277"/>
    <n v="48257"/>
    <n v="0.13621262458471761"/>
    <x v="2"/>
  </r>
  <r>
    <n v="647"/>
    <x v="0"/>
    <x v="2"/>
    <x v="2"/>
    <x v="3"/>
    <n v="1922"/>
    <n v="10"/>
    <n v="350"/>
    <n v="94178"/>
    <n v="499720"/>
    <x v="11"/>
    <n v="11"/>
    <x v="9"/>
    <x v="9"/>
    <x v="1"/>
    <n v="672700"/>
    <n v="578522"/>
    <n v="78802"/>
    <n v="0.13621262458471761"/>
    <x v="2"/>
  </r>
  <r>
    <n v="648"/>
    <x v="3"/>
    <x v="3"/>
    <x v="3"/>
    <x v="3"/>
    <n v="1575"/>
    <n v="120"/>
    <n v="125"/>
    <n v="27562.5"/>
    <n v="189000"/>
    <x v="8"/>
    <n v="2"/>
    <x v="8"/>
    <x v="8"/>
    <x v="0"/>
    <n v="196875"/>
    <n v="169312.5"/>
    <n v="-19687.5"/>
    <n v="-0.11627906976744186"/>
    <x v="3"/>
  </r>
  <r>
    <n v="649"/>
    <x v="0"/>
    <x v="4"/>
    <x v="3"/>
    <x v="3"/>
    <n v="606"/>
    <n v="120"/>
    <n v="20"/>
    <n v="1696.8000000000002"/>
    <n v="6060"/>
    <x v="13"/>
    <n v="4"/>
    <x v="10"/>
    <x v="10"/>
    <x v="0"/>
    <n v="12120"/>
    <n v="10423.200000000001"/>
    <n v="4363.2000000000007"/>
    <n v="0.41860465116279072"/>
    <x v="0"/>
  </r>
  <r>
    <n v="650"/>
    <x v="4"/>
    <x v="4"/>
    <x v="3"/>
    <x v="3"/>
    <n v="2460"/>
    <n v="120"/>
    <n v="300"/>
    <n v="103320"/>
    <n v="615000"/>
    <x v="4"/>
    <n v="7"/>
    <x v="4"/>
    <x v="4"/>
    <x v="0"/>
    <n v="738000"/>
    <n v="634680"/>
    <n v="19680"/>
    <n v="3.1007751937984496E-2"/>
    <x v="1"/>
  </r>
  <r>
    <n v="651"/>
    <x v="4"/>
    <x v="0"/>
    <x v="3"/>
    <x v="3"/>
    <n v="269"/>
    <n v="120"/>
    <n v="300"/>
    <n v="11298"/>
    <n v="67250"/>
    <x v="7"/>
    <n v="10"/>
    <x v="7"/>
    <x v="7"/>
    <x v="1"/>
    <n v="80700"/>
    <n v="69402"/>
    <n v="2152"/>
    <n v="3.1007751937984496E-2"/>
    <x v="1"/>
  </r>
  <r>
    <n v="652"/>
    <x v="4"/>
    <x v="1"/>
    <x v="3"/>
    <x v="3"/>
    <n v="2536"/>
    <n v="120"/>
    <n v="300"/>
    <n v="106512"/>
    <n v="634000"/>
    <x v="11"/>
    <n v="11"/>
    <x v="9"/>
    <x v="9"/>
    <x v="1"/>
    <n v="760800"/>
    <n v="654288"/>
    <n v="20288"/>
    <n v="3.1007751937984496E-2"/>
    <x v="1"/>
  </r>
  <r>
    <n v="653"/>
    <x v="0"/>
    <x v="3"/>
    <x v="4"/>
    <x v="3"/>
    <n v="2903"/>
    <n v="250"/>
    <n v="7"/>
    <n v="2844.94"/>
    <n v="14515"/>
    <x v="3"/>
    <n v="3"/>
    <x v="3"/>
    <x v="3"/>
    <x v="0"/>
    <n v="20321"/>
    <n v="17476.060000000001"/>
    <n v="2961.0600000000013"/>
    <n v="0.16943521594684391"/>
    <x v="2"/>
  </r>
  <r>
    <n v="654"/>
    <x v="4"/>
    <x v="4"/>
    <x v="4"/>
    <x v="3"/>
    <n v="2541"/>
    <n v="250"/>
    <n v="300"/>
    <n v="106722"/>
    <n v="635250"/>
    <x v="5"/>
    <n v="8"/>
    <x v="5"/>
    <x v="5"/>
    <x v="0"/>
    <n v="762300"/>
    <n v="655578"/>
    <n v="20328"/>
    <n v="3.1007751937984496E-2"/>
    <x v="1"/>
  </r>
  <r>
    <n v="655"/>
    <x v="4"/>
    <x v="0"/>
    <x v="4"/>
    <x v="3"/>
    <n v="269"/>
    <n v="250"/>
    <n v="300"/>
    <n v="11298"/>
    <n v="67250"/>
    <x v="7"/>
    <n v="10"/>
    <x v="7"/>
    <x v="7"/>
    <x v="1"/>
    <n v="80700"/>
    <n v="69402"/>
    <n v="2152"/>
    <n v="3.1007751937984496E-2"/>
    <x v="1"/>
  </r>
  <r>
    <n v="656"/>
    <x v="4"/>
    <x v="0"/>
    <x v="4"/>
    <x v="3"/>
    <n v="1496"/>
    <n v="250"/>
    <n v="300"/>
    <n v="62832"/>
    <n v="374000"/>
    <x v="10"/>
    <n v="10"/>
    <x v="7"/>
    <x v="7"/>
    <x v="0"/>
    <n v="448800"/>
    <n v="385968"/>
    <n v="11968"/>
    <n v="3.1007751937984496E-2"/>
    <x v="1"/>
  </r>
  <r>
    <n v="657"/>
    <x v="4"/>
    <x v="4"/>
    <x v="4"/>
    <x v="3"/>
    <n v="1010"/>
    <n v="250"/>
    <n v="300"/>
    <n v="42420"/>
    <n v="252500"/>
    <x v="10"/>
    <n v="10"/>
    <x v="7"/>
    <x v="7"/>
    <x v="0"/>
    <n v="303000"/>
    <n v="260580"/>
    <n v="8080"/>
    <n v="3.1007751937984496E-2"/>
    <x v="1"/>
  </r>
  <r>
    <n v="658"/>
    <x v="0"/>
    <x v="2"/>
    <x v="4"/>
    <x v="3"/>
    <n v="1281"/>
    <n v="250"/>
    <n v="350"/>
    <n v="62769"/>
    <n v="333060"/>
    <x v="12"/>
    <n v="12"/>
    <x v="2"/>
    <x v="2"/>
    <x v="1"/>
    <n v="448350"/>
    <n v="385581"/>
    <n v="52521"/>
    <n v="0.13621262458471761"/>
    <x v="2"/>
  </r>
  <r>
    <n v="659"/>
    <x v="4"/>
    <x v="0"/>
    <x v="5"/>
    <x v="3"/>
    <n v="888"/>
    <n v="260"/>
    <n v="300"/>
    <n v="37296"/>
    <n v="222000"/>
    <x v="3"/>
    <n v="3"/>
    <x v="3"/>
    <x v="3"/>
    <x v="0"/>
    <n v="266400"/>
    <n v="229104"/>
    <n v="7104"/>
    <n v="3.1007751937984496E-2"/>
    <x v="1"/>
  </r>
  <r>
    <n v="660"/>
    <x v="3"/>
    <x v="4"/>
    <x v="5"/>
    <x v="3"/>
    <n v="2844"/>
    <n v="260"/>
    <n v="125"/>
    <n v="49770"/>
    <n v="341280"/>
    <x v="14"/>
    <n v="5"/>
    <x v="11"/>
    <x v="11"/>
    <x v="0"/>
    <n v="355500"/>
    <n v="305730"/>
    <n v="-35550"/>
    <n v="-0.11627906976744186"/>
    <x v="3"/>
  </r>
  <r>
    <n v="661"/>
    <x v="2"/>
    <x v="2"/>
    <x v="5"/>
    <x v="3"/>
    <n v="2475"/>
    <n v="260"/>
    <n v="12"/>
    <n v="4158"/>
    <n v="7425"/>
    <x v="5"/>
    <n v="8"/>
    <x v="5"/>
    <x v="5"/>
    <x v="0"/>
    <n v="29700"/>
    <n v="25542"/>
    <n v="18117"/>
    <n v="0.70930232558139539"/>
    <x v="0"/>
  </r>
  <r>
    <n v="662"/>
    <x v="1"/>
    <x v="0"/>
    <x v="5"/>
    <x v="3"/>
    <n v="1743"/>
    <n v="260"/>
    <n v="15"/>
    <n v="3660.3"/>
    <n v="17430"/>
    <x v="7"/>
    <n v="10"/>
    <x v="7"/>
    <x v="7"/>
    <x v="1"/>
    <n v="26145"/>
    <n v="22484.7"/>
    <n v="5054.7000000000007"/>
    <n v="0.22480620155038764"/>
    <x v="0"/>
  </r>
  <r>
    <n v="663"/>
    <x v="2"/>
    <x v="4"/>
    <x v="5"/>
    <x v="3"/>
    <n v="2914"/>
    <n v="260"/>
    <n v="12"/>
    <n v="4895.5200000000004"/>
    <n v="8742"/>
    <x v="10"/>
    <n v="10"/>
    <x v="7"/>
    <x v="7"/>
    <x v="0"/>
    <n v="34968"/>
    <n v="30072.48"/>
    <n v="21330.48"/>
    <n v="0.70930232558139539"/>
    <x v="0"/>
  </r>
  <r>
    <n v="664"/>
    <x v="0"/>
    <x v="2"/>
    <x v="5"/>
    <x v="3"/>
    <n v="1731"/>
    <n v="260"/>
    <n v="7"/>
    <n v="1696.38"/>
    <n v="8655"/>
    <x v="10"/>
    <n v="10"/>
    <x v="7"/>
    <x v="7"/>
    <x v="0"/>
    <n v="12117"/>
    <n v="10420.619999999999"/>
    <n v="1765.619999999999"/>
    <n v="0.16943521594684377"/>
    <x v="2"/>
  </r>
  <r>
    <n v="665"/>
    <x v="0"/>
    <x v="3"/>
    <x v="5"/>
    <x v="3"/>
    <n v="1727"/>
    <n v="260"/>
    <n v="7"/>
    <n v="1692.46"/>
    <n v="8635"/>
    <x v="7"/>
    <n v="10"/>
    <x v="7"/>
    <x v="7"/>
    <x v="1"/>
    <n v="12089"/>
    <n v="10396.540000000001"/>
    <n v="1761.5400000000009"/>
    <n v="0.16943521594684394"/>
    <x v="2"/>
  </r>
  <r>
    <n v="666"/>
    <x v="1"/>
    <x v="3"/>
    <x v="5"/>
    <x v="3"/>
    <n v="1870"/>
    <n v="260"/>
    <n v="15"/>
    <n v="3927"/>
    <n v="18700"/>
    <x v="11"/>
    <n v="11"/>
    <x v="9"/>
    <x v="9"/>
    <x v="1"/>
    <n v="28050"/>
    <n v="24123"/>
    <n v="5423"/>
    <n v="0.22480620155038761"/>
    <x v="0"/>
  </r>
  <r>
    <n v="667"/>
    <x v="3"/>
    <x v="2"/>
    <x v="0"/>
    <x v="3"/>
    <n v="1174"/>
    <n v="3"/>
    <n v="125"/>
    <n v="22012.5"/>
    <n v="140880"/>
    <x v="5"/>
    <n v="8"/>
    <x v="5"/>
    <x v="5"/>
    <x v="0"/>
    <n v="146750"/>
    <n v="124737.5"/>
    <n v="-16142.5"/>
    <n v="-0.12941176470588237"/>
    <x v="3"/>
  </r>
  <r>
    <n v="668"/>
    <x v="3"/>
    <x v="1"/>
    <x v="0"/>
    <x v="3"/>
    <n v="2767"/>
    <n v="3"/>
    <n v="125"/>
    <n v="51881.25"/>
    <n v="332040"/>
    <x v="5"/>
    <n v="8"/>
    <x v="5"/>
    <x v="5"/>
    <x v="0"/>
    <n v="345875"/>
    <n v="293993.75"/>
    <n v="-38046.25"/>
    <n v="-0.12941176470588237"/>
    <x v="3"/>
  </r>
  <r>
    <n v="669"/>
    <x v="3"/>
    <x v="1"/>
    <x v="0"/>
    <x v="3"/>
    <n v="1085"/>
    <n v="3"/>
    <n v="125"/>
    <n v="20343.75"/>
    <n v="130200"/>
    <x v="10"/>
    <n v="10"/>
    <x v="7"/>
    <x v="7"/>
    <x v="0"/>
    <n v="135625"/>
    <n v="115281.25"/>
    <n v="-14918.75"/>
    <n v="-0.12941176470588237"/>
    <x v="3"/>
  </r>
  <r>
    <n v="670"/>
    <x v="4"/>
    <x v="3"/>
    <x v="1"/>
    <x v="3"/>
    <n v="546"/>
    <n v="5"/>
    <n v="300"/>
    <n v="24570"/>
    <n v="136500"/>
    <x v="10"/>
    <n v="10"/>
    <x v="7"/>
    <x v="7"/>
    <x v="0"/>
    <n v="163800"/>
    <n v="139230"/>
    <n v="2730"/>
    <n v="1.9607843137254902E-2"/>
    <x v="1"/>
  </r>
  <r>
    <n v="671"/>
    <x v="0"/>
    <x v="1"/>
    <x v="2"/>
    <x v="3"/>
    <n v="1158"/>
    <n v="10"/>
    <n v="20"/>
    <n v="3474"/>
    <n v="11580"/>
    <x v="3"/>
    <n v="3"/>
    <x v="3"/>
    <x v="3"/>
    <x v="0"/>
    <n v="23160"/>
    <n v="19686"/>
    <n v="8106"/>
    <n v="0.41176470588235292"/>
    <x v="0"/>
  </r>
  <r>
    <n v="672"/>
    <x v="1"/>
    <x v="0"/>
    <x v="2"/>
    <x v="3"/>
    <n v="1614"/>
    <n v="10"/>
    <n v="15"/>
    <n v="3631.5"/>
    <n v="16140"/>
    <x v="13"/>
    <n v="4"/>
    <x v="10"/>
    <x v="10"/>
    <x v="0"/>
    <n v="24210"/>
    <n v="20578.5"/>
    <n v="4438.5"/>
    <n v="0.21568627450980393"/>
    <x v="0"/>
  </r>
  <r>
    <n v="673"/>
    <x v="0"/>
    <x v="3"/>
    <x v="2"/>
    <x v="3"/>
    <n v="2535"/>
    <n v="10"/>
    <n v="7"/>
    <n v="2661.75"/>
    <n v="12675"/>
    <x v="13"/>
    <n v="4"/>
    <x v="10"/>
    <x v="10"/>
    <x v="0"/>
    <n v="17745"/>
    <n v="15083.25"/>
    <n v="2408.25"/>
    <n v="0.15966386554621848"/>
    <x v="2"/>
  </r>
  <r>
    <n v="674"/>
    <x v="0"/>
    <x v="3"/>
    <x v="2"/>
    <x v="3"/>
    <n v="2851"/>
    <n v="10"/>
    <n v="350"/>
    <n v="149677.5"/>
    <n v="741260"/>
    <x v="14"/>
    <n v="5"/>
    <x v="11"/>
    <x v="11"/>
    <x v="0"/>
    <n v="997850"/>
    <n v="848172.5"/>
    <n v="106912.5"/>
    <n v="0.12605042016806722"/>
    <x v="2"/>
  </r>
  <r>
    <n v="675"/>
    <x v="1"/>
    <x v="0"/>
    <x v="2"/>
    <x v="3"/>
    <n v="2559"/>
    <n v="10"/>
    <n v="15"/>
    <n v="5757.75"/>
    <n v="25590"/>
    <x v="5"/>
    <n v="8"/>
    <x v="5"/>
    <x v="5"/>
    <x v="0"/>
    <n v="38385"/>
    <n v="32627.25"/>
    <n v="7037.25"/>
    <n v="0.21568627450980393"/>
    <x v="0"/>
  </r>
  <r>
    <n v="676"/>
    <x v="0"/>
    <x v="4"/>
    <x v="2"/>
    <x v="3"/>
    <n v="267"/>
    <n v="10"/>
    <n v="20"/>
    <n v="801"/>
    <n v="2670"/>
    <x v="7"/>
    <n v="10"/>
    <x v="7"/>
    <x v="7"/>
    <x v="1"/>
    <n v="5340"/>
    <n v="4539"/>
    <n v="1869"/>
    <n v="0.41176470588235292"/>
    <x v="0"/>
  </r>
  <r>
    <n v="677"/>
    <x v="3"/>
    <x v="1"/>
    <x v="2"/>
    <x v="3"/>
    <n v="1085"/>
    <n v="10"/>
    <n v="125"/>
    <n v="20343.75"/>
    <n v="130200"/>
    <x v="10"/>
    <n v="10"/>
    <x v="7"/>
    <x v="7"/>
    <x v="0"/>
    <n v="135625"/>
    <n v="115281.25"/>
    <n v="-14918.75"/>
    <n v="-0.12941176470588237"/>
    <x v="3"/>
  </r>
  <r>
    <n v="678"/>
    <x v="1"/>
    <x v="1"/>
    <x v="2"/>
    <x v="3"/>
    <n v="1175"/>
    <n v="10"/>
    <n v="15"/>
    <n v="2643.75"/>
    <n v="11750"/>
    <x v="10"/>
    <n v="10"/>
    <x v="7"/>
    <x v="7"/>
    <x v="0"/>
    <n v="17625"/>
    <n v="14981.25"/>
    <n v="3231.25"/>
    <n v="0.21568627450980393"/>
    <x v="0"/>
  </r>
  <r>
    <n v="679"/>
    <x v="0"/>
    <x v="4"/>
    <x v="2"/>
    <x v="3"/>
    <n v="2007"/>
    <n v="10"/>
    <n v="350"/>
    <n v="105367.5"/>
    <n v="521820"/>
    <x v="11"/>
    <n v="11"/>
    <x v="9"/>
    <x v="9"/>
    <x v="1"/>
    <n v="702450"/>
    <n v="597082.5"/>
    <n v="75262.5"/>
    <n v="0.12605042016806722"/>
    <x v="2"/>
  </r>
  <r>
    <n v="680"/>
    <x v="0"/>
    <x v="3"/>
    <x v="2"/>
    <x v="3"/>
    <n v="2151"/>
    <n v="10"/>
    <n v="350"/>
    <n v="112927.5"/>
    <n v="559260"/>
    <x v="11"/>
    <n v="11"/>
    <x v="9"/>
    <x v="9"/>
    <x v="1"/>
    <n v="752850"/>
    <n v="639922.5"/>
    <n v="80662.5"/>
    <n v="0.12605042016806722"/>
    <x v="2"/>
  </r>
  <r>
    <n v="681"/>
    <x v="2"/>
    <x v="4"/>
    <x v="2"/>
    <x v="3"/>
    <n v="914"/>
    <n v="10"/>
    <n v="12"/>
    <n v="1645.2"/>
    <n v="2742"/>
    <x v="2"/>
    <n v="12"/>
    <x v="2"/>
    <x v="2"/>
    <x v="0"/>
    <n v="10968"/>
    <n v="9322.7999999999993"/>
    <n v="6580.7999999999993"/>
    <n v="0.70588235294117641"/>
    <x v="0"/>
  </r>
  <r>
    <n v="682"/>
    <x v="0"/>
    <x v="2"/>
    <x v="2"/>
    <x v="3"/>
    <n v="293"/>
    <n v="10"/>
    <n v="20"/>
    <n v="879"/>
    <n v="2930"/>
    <x v="2"/>
    <n v="12"/>
    <x v="2"/>
    <x v="2"/>
    <x v="0"/>
    <n v="5860"/>
    <n v="4981"/>
    <n v="2051"/>
    <n v="0.41176470588235292"/>
    <x v="0"/>
  </r>
  <r>
    <n v="683"/>
    <x v="2"/>
    <x v="3"/>
    <x v="3"/>
    <x v="3"/>
    <n v="500"/>
    <n v="120"/>
    <n v="12"/>
    <n v="900"/>
    <n v="1500"/>
    <x v="3"/>
    <n v="3"/>
    <x v="3"/>
    <x v="3"/>
    <x v="0"/>
    <n v="6000"/>
    <n v="5100"/>
    <n v="3600"/>
    <n v="0.70588235294117652"/>
    <x v="0"/>
  </r>
  <r>
    <n v="684"/>
    <x v="1"/>
    <x v="2"/>
    <x v="3"/>
    <x v="3"/>
    <n v="2826"/>
    <n v="120"/>
    <n v="15"/>
    <n v="6358.5"/>
    <n v="28260"/>
    <x v="14"/>
    <n v="5"/>
    <x v="11"/>
    <x v="11"/>
    <x v="0"/>
    <n v="42390"/>
    <n v="36031.5"/>
    <n v="7771.5"/>
    <n v="0.21568627450980393"/>
    <x v="0"/>
  </r>
  <r>
    <n v="685"/>
    <x v="3"/>
    <x v="2"/>
    <x v="3"/>
    <x v="3"/>
    <n v="663"/>
    <n v="120"/>
    <n v="125"/>
    <n v="12431.25"/>
    <n v="79560"/>
    <x v="6"/>
    <n v="9"/>
    <x v="6"/>
    <x v="6"/>
    <x v="0"/>
    <n v="82875"/>
    <n v="70443.75"/>
    <n v="-9116.25"/>
    <n v="-0.12941176470588237"/>
    <x v="3"/>
  </r>
  <r>
    <n v="686"/>
    <x v="4"/>
    <x v="4"/>
    <x v="3"/>
    <x v="3"/>
    <n v="2574"/>
    <n v="120"/>
    <n v="300"/>
    <n v="115830"/>
    <n v="643500"/>
    <x v="11"/>
    <n v="11"/>
    <x v="9"/>
    <x v="9"/>
    <x v="1"/>
    <n v="772200"/>
    <n v="656370"/>
    <n v="12870"/>
    <n v="1.9607843137254902E-2"/>
    <x v="1"/>
  </r>
  <r>
    <n v="687"/>
    <x v="3"/>
    <x v="4"/>
    <x v="3"/>
    <x v="3"/>
    <n v="2438"/>
    <n v="120"/>
    <n v="125"/>
    <n v="45712.5"/>
    <n v="292560"/>
    <x v="12"/>
    <n v="12"/>
    <x v="2"/>
    <x v="2"/>
    <x v="1"/>
    <n v="304750"/>
    <n v="259037.5"/>
    <n v="-33522.5"/>
    <n v="-0.12941176470588237"/>
    <x v="3"/>
  </r>
  <r>
    <n v="688"/>
    <x v="2"/>
    <x v="4"/>
    <x v="3"/>
    <x v="3"/>
    <n v="914"/>
    <n v="120"/>
    <n v="12"/>
    <n v="1645.2"/>
    <n v="2742"/>
    <x v="2"/>
    <n v="12"/>
    <x v="2"/>
    <x v="2"/>
    <x v="0"/>
    <n v="10968"/>
    <n v="9322.7999999999993"/>
    <n v="6580.7999999999993"/>
    <n v="0.70588235294117641"/>
    <x v="0"/>
  </r>
  <r>
    <n v="689"/>
    <x v="0"/>
    <x v="0"/>
    <x v="4"/>
    <x v="3"/>
    <n v="865.5"/>
    <n v="250"/>
    <n v="20"/>
    <n v="2596.5"/>
    <n v="8655"/>
    <x v="4"/>
    <n v="7"/>
    <x v="4"/>
    <x v="4"/>
    <x v="0"/>
    <n v="17310"/>
    <n v="14713.5"/>
    <n v="6058.5"/>
    <n v="0.41176470588235292"/>
    <x v="0"/>
  </r>
  <r>
    <n v="690"/>
    <x v="1"/>
    <x v="1"/>
    <x v="4"/>
    <x v="3"/>
    <n v="492"/>
    <n v="250"/>
    <n v="15"/>
    <n v="1107"/>
    <n v="4920"/>
    <x v="4"/>
    <n v="7"/>
    <x v="4"/>
    <x v="4"/>
    <x v="0"/>
    <n v="7380"/>
    <n v="6273"/>
    <n v="1353"/>
    <n v="0.21568627450980393"/>
    <x v="0"/>
  </r>
  <r>
    <n v="691"/>
    <x v="0"/>
    <x v="4"/>
    <x v="4"/>
    <x v="3"/>
    <n v="267"/>
    <n v="250"/>
    <n v="20"/>
    <n v="801"/>
    <n v="2670"/>
    <x v="7"/>
    <n v="10"/>
    <x v="7"/>
    <x v="7"/>
    <x v="1"/>
    <n v="5340"/>
    <n v="4539"/>
    <n v="1869"/>
    <n v="0.41176470588235292"/>
    <x v="0"/>
  </r>
  <r>
    <n v="692"/>
    <x v="1"/>
    <x v="1"/>
    <x v="4"/>
    <x v="3"/>
    <n v="1175"/>
    <n v="250"/>
    <n v="15"/>
    <n v="2643.75"/>
    <n v="11750"/>
    <x v="10"/>
    <n v="10"/>
    <x v="7"/>
    <x v="7"/>
    <x v="0"/>
    <n v="17625"/>
    <n v="14981.25"/>
    <n v="3231.25"/>
    <n v="0.21568627450980393"/>
    <x v="0"/>
  </r>
  <r>
    <n v="693"/>
    <x v="3"/>
    <x v="0"/>
    <x v="4"/>
    <x v="3"/>
    <n v="2954"/>
    <n v="250"/>
    <n v="125"/>
    <n v="55387.5"/>
    <n v="354480"/>
    <x v="11"/>
    <n v="11"/>
    <x v="9"/>
    <x v="9"/>
    <x v="1"/>
    <n v="369250"/>
    <n v="313862.5"/>
    <n v="-40617.5"/>
    <n v="-0.12941176470588237"/>
    <x v="3"/>
  </r>
  <r>
    <n v="694"/>
    <x v="3"/>
    <x v="1"/>
    <x v="4"/>
    <x v="3"/>
    <n v="552"/>
    <n v="250"/>
    <n v="125"/>
    <n v="10350"/>
    <n v="66240"/>
    <x v="15"/>
    <n v="11"/>
    <x v="9"/>
    <x v="9"/>
    <x v="0"/>
    <n v="69000"/>
    <n v="58650"/>
    <n v="-7590"/>
    <n v="-0.12941176470588237"/>
    <x v="3"/>
  </r>
  <r>
    <n v="695"/>
    <x v="0"/>
    <x v="2"/>
    <x v="4"/>
    <x v="3"/>
    <n v="293"/>
    <n v="250"/>
    <n v="20"/>
    <n v="879"/>
    <n v="2930"/>
    <x v="2"/>
    <n v="12"/>
    <x v="2"/>
    <x v="2"/>
    <x v="0"/>
    <n v="5860"/>
    <n v="4981"/>
    <n v="2051"/>
    <n v="0.41176470588235292"/>
    <x v="0"/>
  </r>
  <r>
    <n v="696"/>
    <x v="4"/>
    <x v="2"/>
    <x v="5"/>
    <x v="3"/>
    <n v="2475"/>
    <n v="260"/>
    <n v="300"/>
    <n v="111375"/>
    <n v="618750"/>
    <x v="3"/>
    <n v="3"/>
    <x v="3"/>
    <x v="3"/>
    <x v="0"/>
    <n v="742500"/>
    <n v="631125"/>
    <n v="12375"/>
    <n v="1.9607843137254902E-2"/>
    <x v="1"/>
  </r>
  <r>
    <n v="697"/>
    <x v="4"/>
    <x v="3"/>
    <x v="5"/>
    <x v="3"/>
    <n v="546"/>
    <n v="260"/>
    <n v="300"/>
    <n v="24570"/>
    <n v="136500"/>
    <x v="10"/>
    <n v="10"/>
    <x v="7"/>
    <x v="7"/>
    <x v="0"/>
    <n v="163800"/>
    <n v="139230"/>
    <n v="2730"/>
    <n v="1.9607843137254902E-2"/>
    <x v="1"/>
  </r>
  <r>
    <n v="698"/>
    <x v="0"/>
    <x v="3"/>
    <x v="1"/>
    <x v="3"/>
    <n v="1368"/>
    <n v="5"/>
    <n v="7"/>
    <n v="1436.4"/>
    <n v="6840"/>
    <x v="8"/>
    <n v="2"/>
    <x v="8"/>
    <x v="8"/>
    <x v="0"/>
    <n v="9576"/>
    <n v="8139.6"/>
    <n v="1299.6000000000004"/>
    <n v="0.15966386554621853"/>
    <x v="2"/>
  </r>
  <r>
    <n v="699"/>
    <x v="0"/>
    <x v="0"/>
    <x v="2"/>
    <x v="3"/>
    <n v="723"/>
    <n v="10"/>
    <n v="7"/>
    <n v="759.15000000000009"/>
    <n v="3615"/>
    <x v="13"/>
    <n v="4"/>
    <x v="10"/>
    <x v="10"/>
    <x v="0"/>
    <n v="5061"/>
    <n v="4301.8500000000004"/>
    <n v="686.85000000000036"/>
    <n v="0.15966386554621856"/>
    <x v="2"/>
  </r>
  <r>
    <n v="700"/>
    <x v="2"/>
    <x v="4"/>
    <x v="4"/>
    <x v="3"/>
    <n v="1806"/>
    <n v="250"/>
    <n v="12"/>
    <n v="3250.8"/>
    <n v="5418"/>
    <x v="14"/>
    <n v="5"/>
    <x v="11"/>
    <x v="11"/>
    <x v="0"/>
    <n v="21672"/>
    <n v="18421.2"/>
    <n v="13003.2"/>
    <n v="0.7058823529411765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845D4-155D-4368-98E4-67B82928A14B}" name="PivotTable5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49">
  <location ref="J45:K50" firstHeaderRow="1" firstDataRow="1" firstDataCol="1"/>
  <pivotFields count="24"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5">
        <item x="0"/>
        <item x="2"/>
        <item x="1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</pivotFields>
  <rowFields count="1">
    <field x="2"/>
  </rowFields>
  <rowItems count="5">
    <i>
      <x v="1"/>
    </i>
    <i>
      <x v="2"/>
    </i>
    <i>
      <x/>
    </i>
    <i>
      <x v="4"/>
    </i>
    <i>
      <x v="3"/>
    </i>
  </rowItems>
  <colItems count="1">
    <i/>
  </colItems>
  <dataFields count="1">
    <dataField name="Sum of Profits" fld="17" baseField="0" baseItem="0" numFmtId="164"/>
  </dataFields>
  <formats count="4">
    <format dxfId="6">
      <pivotArea type="all" dataOnly="0" outline="0" fieldPosition="0"/>
    </format>
    <format dxfId="5">
      <pivotArea outline="0" collapsedLevelsAreSubtotals="1" fieldPosition="0"/>
    </format>
    <format dxfId="4">
      <pivotArea field="12" type="button" dataOnly="0" labelOnly="1" outline="0"/>
    </format>
    <format dxfId="3">
      <pivotArea outline="0" collapsedLevelsAreSubtotals="1" fieldPosition="0"/>
    </format>
  </formats>
  <chartFormats count="14">
    <chartFormat chart="15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9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25023-EC2A-4F45-9A66-8D84FC9F46C1}" name="PivotTable6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1">
  <location ref="T59:U63" firstHeaderRow="1" firstDataRow="1" firstDataCol="1"/>
  <pivotFields count="2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3"/>
        <item x="1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Profits" fld="17" baseField="0" baseItem="0" numFmtId="164"/>
  </dataFields>
  <formats count="4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2" type="button" dataOnly="0" labelOnly="1" outline="0"/>
    </format>
    <format dxfId="7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66D6B-59C6-4D01-BC2F-1BBAE3A6BC23}" name="PivotTable1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T67:V72" firstHeaderRow="0" firstDataRow="1" firstDataCol="1"/>
  <pivotFields count="24">
    <pivotField compact="0" outline="0" showAll="0" defaultSubtotal="0"/>
    <pivotField axis="axisRow" compact="0" outline="0" showAll="0" sortType="descending" defaultSubtotal="0">
      <items count="5">
        <item x="2"/>
        <item x="3"/>
        <item x="0"/>
        <item x="1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</pivotFields>
  <rowFields count="1">
    <field x="1"/>
  </rowFields>
  <rowItems count="5">
    <i>
      <x v="2"/>
    </i>
    <i>
      <x v="4"/>
    </i>
    <i>
      <x/>
    </i>
    <i>
      <x v="3"/>
    </i>
    <i>
      <x v="1"/>
    </i>
  </rowItems>
  <colFields count="1">
    <field x="-2"/>
  </colFields>
  <colItems count="2">
    <i>
      <x/>
    </i>
    <i i="1">
      <x v="1"/>
    </i>
  </colItems>
  <dataFields count="2">
    <dataField name="Profit" fld="17" baseField="12" baseItem="0"/>
    <dataField name="Sum of Profits" fld="17" showDataAs="percentOfTotal" baseField="0" baseItem="0" numFmtId="10"/>
  </dataFields>
  <formats count="5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2" type="button" dataOnly="0" labelOnly="1" outline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DC9C4-DCE3-4FDC-AA3A-942E81BA6808}" name="PivotTable1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T37:X44" firstHeaderRow="1" firstDataRow="2" firstDataCol="1"/>
  <pivotFields count="24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Col" compact="0" outline="0" subtotalTop="0" showAll="0" defaultSubtotal="0">
      <items count="4">
        <item x="0"/>
        <item x="1"/>
        <item x="2"/>
        <item x="3"/>
      </items>
    </pivotField>
    <pivotField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9"/>
  </colFields>
  <colItems count="4">
    <i>
      <x/>
    </i>
    <i>
      <x v="1"/>
    </i>
    <i>
      <x v="2"/>
    </i>
    <i>
      <x v="3"/>
    </i>
  </colItems>
  <dataFields count="1">
    <dataField name="Sum of Profits" fld="17" baseField="0" baseItem="0"/>
  </dataFields>
  <formats count="3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2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C021A-ED67-4EEE-88B9-264438758764}" name="PivotTable17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T49:V55" firstHeaderRow="0" firstDataRow="1" firstDataCol="1"/>
  <pivotFields count="24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ubtotalTop="0" showAll="0" defaultSubtotal="0"/>
    <pivotField dataField="1"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Sum of PM" fld="20" baseField="0" baseItem="0" numFmtId="9"/>
    <dataField name="Sum of Profit Margin" fld="18" baseField="0" baseItem="0"/>
  </dataFields>
  <formats count="4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2" type="button" dataOnly="0" labelOnly="1" outline="0"/>
    </format>
    <format dxfId="19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E6641-9EAF-483C-B861-EA014E839A00}" name="PivotTable4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8">
  <location ref="J35:K41" firstHeaderRow="1" firstDataRow="1" firstDataCol="1"/>
  <pivotFields count="24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6">
        <item x="5"/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</pivotFields>
  <rowFields count="1">
    <field x="3"/>
  </rowFields>
  <rowItems count="6">
    <i>
      <x v="1"/>
    </i>
    <i>
      <x v="2"/>
    </i>
    <i>
      <x v="4"/>
    </i>
    <i>
      <x/>
    </i>
    <i>
      <x v="5"/>
    </i>
    <i>
      <x v="3"/>
    </i>
  </rowItems>
  <colItems count="1">
    <i/>
  </colItems>
  <dataFields count="1">
    <dataField name="Profit" fld="17" baseField="12" baseItem="0" numFmtId="164"/>
  </dataFields>
  <formats count="5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2" type="button" dataOnly="0" labelOnly="1" outline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3658E-DF56-4275-8682-1A6EEF944FFD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5">
  <location ref="J6:L18" firstHeaderRow="1" firstDataRow="1" firstDataCol="2"/>
  <pivotFields count="2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2"/>
        <item x="9"/>
        <item x="7"/>
        <item x="6"/>
        <item x="5"/>
        <item x="4"/>
        <item x="1"/>
        <item x="11"/>
        <item x="10"/>
        <item x="3"/>
        <item x="8"/>
        <item x="0"/>
      </items>
    </pivotField>
    <pivotField axis="axisRow" compact="0" outline="0" subtotalTop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axis="axisRow" compact="0" outline="0" showAll="0" defaultSubtotal="0">
      <items count="2">
        <item h="1" x="1"/>
        <item x="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</pivotFields>
  <rowFields count="2">
    <field x="14"/>
    <field x="13"/>
  </rowFields>
  <rowItems count="12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Net Sale" fld="16" baseField="13" baseItem="0" numFmtId="164"/>
  </dataFields>
  <formats count="5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2" type="button" dataOnly="0" labelOnly="1" outline="0"/>
    </format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3">
          <reference field="4294967294" count="1" selected="0">
            <x v="0"/>
          </reference>
          <reference field="13" count="1" selected="0">
            <x v="9"/>
          </reference>
          <reference field="14" count="1" selected="0">
            <x v="1"/>
          </reference>
        </references>
      </pivotArea>
    </chartFormat>
    <chartFormat chart="10" format="4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1"/>
          </reference>
        </references>
      </pivotArea>
    </chartFormat>
    <chartFormat chart="10" format="5">
      <pivotArea type="data" outline="0" fieldPosition="0">
        <references count="3">
          <reference field="4294967294" count="1" selected="0">
            <x v="0"/>
          </reference>
          <reference field="13" count="1" selected="0">
            <x v="1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2DD8E-DEB4-4FA4-8182-4DF763A1633D}" name="PivotTable16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2">
  <location ref="B58:C70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Profit Margin" fld="18" baseField="0" baseItem="0" numFmtId="2"/>
  </dataFields>
  <formats count="3">
    <format dxfId="35">
      <pivotArea type="all" dataOnly="0" outline="0" fieldPosition="0"/>
    </format>
    <format dxfId="34">
      <pivotArea outline="0" collapsedLevelsAreSubtotals="1" fieldPosition="0"/>
    </format>
    <format dxfId="33">
      <pivotArea outline="0" collapsedLevelsAreSubtotals="1" fieldPosition="0"/>
    </format>
  </formats>
  <chartFormats count="3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9B188-B5B6-4AA0-9140-F255032718A9}" name="PivotTable9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0">
  <location ref="T15:U20" firstHeaderRow="1" firstDataRow="1" firstDataCol="1"/>
  <pivotFields count="24">
    <pivotField compact="0" outline="0" showAll="0" defaultSubtotal="0"/>
    <pivotField axis="axisRow" compact="0" outline="0" showAll="0" sortType="ascending" defaultSubtotal="0">
      <items count="5">
        <item x="2"/>
        <item x="3"/>
        <item x="0"/>
        <item x="1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dataField="1" compact="0" outline="0" subtotalTop="0" dragToRow="0" dragToCol="0" dragToPage="0" showAll="0" defaultSubtotal="0"/>
  </pivotFields>
  <rowFields count="1">
    <field x="1"/>
  </rowFields>
  <rowItems count="5">
    <i>
      <x v="1"/>
    </i>
    <i>
      <x v="4"/>
    </i>
    <i>
      <x v="2"/>
    </i>
    <i>
      <x v="3"/>
    </i>
    <i>
      <x/>
    </i>
  </rowItems>
  <colItems count="1">
    <i/>
  </colItems>
  <dataFields count="1">
    <dataField name="Sum of margin" fld="23" baseField="0" baseItem="0" numFmtId="166"/>
  </dataFields>
  <formats count="5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2" type="button" dataOnly="0" labelOnly="1" outline="0"/>
    </format>
    <format dxfId="37">
      <pivotArea outline="0" collapsedLevelsAreSubtotals="1" fieldPosition="0"/>
    </format>
    <format dxfId="36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4966F-F9CB-409D-9CDC-1BE48775744E}" name="PivotTable8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4">
  <location ref="T6:U12" firstHeaderRow="1" firstDataRow="1" firstDataCol="1"/>
  <pivotFields count="24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dataField="1" compact="0" outline="0" subtotalTop="0"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margin" fld="23" baseField="0" baseItem="0" numFmtId="10"/>
  </dataFields>
  <formats count="4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2" type="button" dataOnly="0" labelOnly="1" outline="0"/>
    </format>
    <format dxfId="41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F75D6-3596-4F9F-87C0-6271A87D3F97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8">
  <location ref="J26:L31" firstHeaderRow="0" firstDataRow="1" firstDataCol="1"/>
  <pivotFields count="24">
    <pivotField compact="0" outline="0" showAll="0" defaultSubtotal="0"/>
    <pivotField axis="axisRow" compact="0" outline="0" showAll="0" sortType="ascending" defaultSubtotal="0">
      <items count="5">
        <item x="2"/>
        <item x="3"/>
        <item x="0"/>
        <item x="1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</pivotFields>
  <rowFields count="1">
    <field x="1"/>
  </rowFields>
  <rowItems count="5">
    <i>
      <x v="1"/>
    </i>
    <i>
      <x v="3"/>
    </i>
    <i>
      <x/>
    </i>
    <i>
      <x v="4"/>
    </i>
    <i>
      <x v="2"/>
    </i>
  </rowItems>
  <colFields count="1">
    <field x="-2"/>
  </colFields>
  <colItems count="2">
    <i>
      <x/>
    </i>
    <i i="1">
      <x v="1"/>
    </i>
  </colItems>
  <dataFields count="2">
    <dataField name="Profit" fld="17" baseField="12" baseItem="0" numFmtId="164"/>
    <dataField name="Sum of Profits" fld="17" showDataAs="percentOfTotal" baseField="0" baseItem="0" numFmtId="10"/>
  </dataFields>
  <formats count="6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2" type="button" dataOnly="0" labelOnly="1" outline="0"/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">
      <pivotArea outline="0" collapsedLevelsAreSubtotals="1" fieldPosition="0"/>
    </format>
    <format dxfId="45">
      <pivotArea outline="0" fieldPosition="0">
        <references count="1">
          <reference field="4294967294" count="1">
            <x v="1"/>
          </reference>
        </references>
      </pivotArea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CDD07-4CDC-4985-918C-790665E45136}" name="PivotTable14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9">
  <location ref="B25:C3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Profits" fld="17" baseField="0" baseItem="0"/>
  </dataFields>
  <formats count="2">
    <format dxfId="52">
      <pivotArea type="all" dataOnly="0" outline="0" fieldPosition="0"/>
    </format>
    <format dxfId="51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FBEFC-AE6C-4A7B-AFB0-7757044210DD}" name="PivotTable1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8">
  <location ref="B9:C2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Net Sales" fld="16" baseField="0" baseItem="0" numFmtId="164"/>
  </dataFields>
  <formats count="4"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E65BA-A873-4597-8B6F-CD163183E79E}" name="PivotTable7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T26:W32" firstHeaderRow="0" firstDataRow="1" firstDataCol="1"/>
  <pivotFields count="24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6">
        <item x="5"/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ubtotalTop="0" showAll="0" defaultSubtotal="0"/>
    <pivotField dataField="1" compact="0" outline="0" dragToRow="0" dragToCol="0" dragToPag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  <pivotField compact="0" outline="0" subtotalTop="0" dragToRow="0" dragToCol="0" dragToPage="0" showAll="0" defaultSubtotal="0"/>
  </pivotFields>
  <rowFields count="1">
    <field x="3"/>
  </rowFields>
  <rowItems count="6">
    <i>
      <x v="3"/>
    </i>
    <i>
      <x v="5"/>
    </i>
    <i>
      <x v="4"/>
    </i>
    <i>
      <x/>
    </i>
    <i>
      <x v="2"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Profit" fld="17" baseField="12" baseItem="0"/>
    <dataField name="Sum of PM" fld="20" baseField="0" baseItem="0" numFmtId="10"/>
    <dataField name="Sum of Units Sold" fld="5" baseField="4" baseItem="1" numFmtId="1"/>
  </dataFields>
  <formats count="6"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2" type="button" dataOnly="0" labelOnly="1" outline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D686F-2E25-4BA9-A84D-40292CB7D72B}" name="PivotTable10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4">
  <location ref="AD6:AF18" firstHeaderRow="1" firstDataRow="1" firstDataCol="2"/>
  <pivotFields count="2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axis="axisRow" compact="0" outline="0" subtotalTop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axis="axisRow" compact="0" outline="0" showAll="0" defaultSubtotal="0">
      <items count="2">
        <item h="1" x="1"/>
        <item x="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dragToRow="0" dragToCol="0" dragToPage="0" showAll="0" defaultSubtotal="0"/>
    <pivotField compact="0" outline="0" subtotalTop="0" showAll="0" defaultSubtotal="0">
      <items count="6">
        <item sd="0" x="0"/>
        <item x="1"/>
        <item x="2"/>
        <item x="3"/>
        <item x="4"/>
        <item sd="0" x="5"/>
      </items>
    </pivotField>
    <pivotField compact="0" outline="0" subtotalTop="0" showAll="0" defaultSubtotal="0">
      <items count="4">
        <item sd="0" x="0"/>
        <item x="1"/>
        <item x="2"/>
        <item sd="0" x="3"/>
      </items>
    </pivotField>
    <pivotField compact="0" outline="0" subtotalTop="0" dragToRow="0" dragToCol="0" dragToPage="0" showAll="0" defaultSubtotal="0"/>
  </pivotFields>
  <rowFields count="2">
    <field x="14"/>
    <field x="13"/>
  </rowFields>
  <rowItems count="12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Net Sale" fld="16" baseField="12" baseItem="0" numFmtId="164"/>
  </dataFields>
  <formats count="6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2" type="button" dataOnly="0" labelOnly="1" outline="0"/>
    </format>
    <format dxfId="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">
      <pivotArea outline="0" fieldPosition="0">
        <references count="2">
          <reference field="13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4" count="0" selected="0"/>
        </references>
      </pivotArea>
    </format>
    <format dxfId="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69C26-6DD9-461E-A588-92B0EF002DA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:E5" firstHeaderRow="0" firstDataRow="1" firstDataCol="0"/>
  <pivotFields count="24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 Sales" fld="16" baseField="0" baseItem="0" numFmtId="164"/>
    <dataField name="Sum of Profits" fld="17" baseField="0" baseItem="0" numFmtId="164"/>
    <dataField name="Sum of PM" fld="20" baseField="0" baseItem="0" numFmtId="10"/>
    <dataField name="Sum of Units Sold" fld="5" baseField="0" baseItem="3" numFmtId="165"/>
  </dataFields>
  <formats count="6">
    <format dxfId="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9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A579D-E836-4E6E-B2A1-2A7F23FACB3D}" name="PivotTable15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8">
  <location ref="B42:C54" firstHeaderRow="1" firstDataRow="1" firstDataCol="1"/>
  <pivotFields count="24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Units Sold" fld="5" baseField="0" baseItem="0"/>
  </dataFields>
  <formats count="2">
    <format dxfId="76">
      <pivotArea type="all" dataOnly="0" outline="0" fieldPosition="0"/>
    </format>
    <format dxfId="75">
      <pivotArea outline="0" collapsedLevelsAreSubtotals="1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8BC836-7C21-45F8-A835-00C33B08DC7D}" autoFormatId="16" applyNumberFormats="0" applyBorderFormats="0" applyFontFormats="0" applyPatternFormats="0" applyAlignmentFormats="0" applyWidthHeightFormats="0">
  <queryTableRefresh nextId="21" unboundColumnsRight="1">
    <queryTableFields count="20">
      <queryTableField id="1" name="Id" tableColumnId="1"/>
      <queryTableField id="2" name="Segment" tableColumnId="2"/>
      <queryTableField id="3" name="Country" tableColumnId="3"/>
      <queryTableField id="4" name="Product" tableColumnId="4"/>
      <queryTableField id="5" name="Discount Band" tableColumnId="5"/>
      <queryTableField id="6" name="Units Sold" tableColumnId="6"/>
      <queryTableField id="7" name="Manufacturing Price" tableColumnId="7"/>
      <queryTableField id="8" name="Sale Price" tableColumnId="8"/>
      <queryTableField id="9" name="Discounts" tableColumnId="9"/>
      <queryTableField id="10" name="COGS" tableColumnId="10"/>
      <queryTableField id="11" name="Date" tableColumnId="11"/>
      <queryTableField id="12" name="Month Number" tableColumnId="12"/>
      <queryTableField id="13" name="Month Name" tableColumnId="13"/>
      <queryTableField id="20" dataBound="0" tableColumnId="20"/>
      <queryTableField id="14" name="Year" tableColumnId="14"/>
      <queryTableField id="15" name="Gross Sales" tableColumnId="15"/>
      <queryTableField id="16" name="Net Sales" tableColumnId="16"/>
      <queryTableField id="17" name="Profits" tableColumnId="17"/>
      <queryTableField id="18" name="Profit Margin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E7846-2097-41C7-A750-24C98B520170}" name="data" displayName="data" ref="A1:T701" tableType="queryTable" totalsRowShown="0">
  <autoFilter ref="A1:T701" xr:uid="{BF4E7846-2097-41C7-A750-24C98B520170}"/>
  <tableColumns count="20">
    <tableColumn id="1" xr3:uid="{205D22B8-5659-4405-B155-1E239835E18C}" uniqueName="1" name="Id" queryTableFieldId="1"/>
    <tableColumn id="2" xr3:uid="{743F3D4A-EFD6-47F3-841D-595BEBAE038C}" uniqueName="2" name="Segment" queryTableFieldId="2" dataDxfId="85"/>
    <tableColumn id="3" xr3:uid="{281785A6-D368-41B2-9C68-AB7E37BDB296}" uniqueName="3" name="Country" queryTableFieldId="3" dataDxfId="84"/>
    <tableColumn id="4" xr3:uid="{DD5435A2-71DD-4E7D-B97C-8651832A31C3}" uniqueName="4" name="Product" queryTableFieldId="4" dataDxfId="83"/>
    <tableColumn id="5" xr3:uid="{334B08C3-6879-4E63-9245-EFF3C1185074}" uniqueName="5" name="Discount Band" queryTableFieldId="5" dataDxfId="82"/>
    <tableColumn id="6" xr3:uid="{DC9C5CF4-E743-4DAB-A2B0-F70AB356BC41}" uniqueName="6" name="Units Sold" queryTableFieldId="6"/>
    <tableColumn id="7" xr3:uid="{BDB9EA6D-902D-4ADC-BCBE-07934C1F84D1}" uniqueName="7" name="Manufacturing Price" queryTableFieldId="7"/>
    <tableColumn id="8" xr3:uid="{C24EF381-AB8E-4E67-9D90-B9C9DF73E2D7}" uniqueName="8" name="Sale Price" queryTableFieldId="8"/>
    <tableColumn id="9" xr3:uid="{C41FDF0F-CE42-4551-92FD-A19A1D7F35A3}" uniqueName="9" name="Discounts" queryTableFieldId="9"/>
    <tableColumn id="10" xr3:uid="{157766D2-B4E1-4DDC-A3C0-A249C002843F}" uniqueName="10" name="COGS" queryTableFieldId="10"/>
    <tableColumn id="11" xr3:uid="{8356840F-6EAA-4CF3-B13F-AC6E4FEDBC0A}" uniqueName="11" name="Date" queryTableFieldId="11" dataDxfId="81"/>
    <tableColumn id="12" xr3:uid="{CF5D9EA1-F47D-4CA8-BAC5-E464D1E88754}" uniqueName="12" name="Month Number" queryTableFieldId="12"/>
    <tableColumn id="13" xr3:uid="{9AA84B85-475B-4401-BC2A-66E9C0B4B117}" uniqueName="13" name="Month Name" queryTableFieldId="13" dataDxfId="80"/>
    <tableColumn id="20" xr3:uid="{E62553CF-069D-491E-AC6D-C215AEBAA5FF}" uniqueName="20" name="Months" queryTableFieldId="20" dataDxfId="79"/>
    <tableColumn id="14" xr3:uid="{1F979566-212A-4C32-BA87-D5A55105D55E}" uniqueName="14" name="Year" queryTableFieldId="14"/>
    <tableColumn id="15" xr3:uid="{7461A66A-76D4-4477-8581-672622210E01}" uniqueName="15" name="Gross Sales" queryTableFieldId="15"/>
    <tableColumn id="16" xr3:uid="{50FC1720-B321-4E1B-86B5-7725E292065E}" uniqueName="16" name="Net Sales" queryTableFieldId="16"/>
    <tableColumn id="17" xr3:uid="{965EB6DF-64F8-4A9D-8690-4E3861EB5C98}" uniqueName="17" name="Profits" queryTableFieldId="17"/>
    <tableColumn id="18" xr3:uid="{DFD8FE7F-8A45-4457-A440-9A9FD0D9F88E}" uniqueName="18" name="Profit Margin" queryTableFieldId="18" dataDxfId="78" dataCellStyle="Percent"/>
    <tableColumn id="19" xr3:uid="{A74490CB-A0CF-4188-9DB1-4664DA754AF1}" uniqueName="19" name="Profit Band" queryTableFieldId="19" dataDxfId="77">
      <calculatedColumnFormula array="1">_xlfn.SWITCH(TRUE,data[[#This Row],[Profit Margin]]&lt;0,"Negative",data[[#This Row],[Profit Margin]]&lt;0.1,"Low",data[[#This Row],[Profit Margin]]&lt;0.2,"Medium","High")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9009D1-DAA8-40E8-B58A-B173CD9AC09F}" name="Table2" displayName="Table2" ref="A1:E19" totalsRowShown="0">
  <autoFilter ref="A1:E19" xr:uid="{3D9009D1-DAA8-40E8-B58A-B173CD9AC09F}"/>
  <tableColumns count="5">
    <tableColumn id="1" xr3:uid="{4C71BD5D-B43C-440A-87A0-A4C1C5934169}" name="Month Number"/>
    <tableColumn id="2" xr3:uid="{BE3EF165-935E-4965-AF0F-A1F8B6BE6FB1}" name="Net Sale"/>
    <tableColumn id="3" xr3:uid="{5BB5065D-01F7-4282-939F-500E4D42EBC2}" name="Forecast(Net Sale)" dataDxfId="2">
      <calculatedColumnFormula>_xlfn.FORECAST.ETS(A2,$B$2:$B$13,$A$2:$A$13,1,1)</calculatedColumnFormula>
    </tableColumn>
    <tableColumn id="4" xr3:uid="{D13121EF-D4D5-4B69-BDCC-A49CCC6F303E}" name="Lower Confidence Bound(Net Sale)" dataDxfId="1">
      <calculatedColumnFormula>C2-_xlfn.FORECAST.ETS.CONFINT(A2,$B$2:$B$13,$A$2:$A$13,0.95,1,1)</calculatedColumnFormula>
    </tableColumn>
    <tableColumn id="5" xr3:uid="{396D9EA8-33F1-4675-81CC-7C3977C299E3}" name="Upper Confidence Bound(Net Sale)" dataDxfId="0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7A86-C2B9-4666-912B-69404EF41F40}">
  <dimension ref="A1:T701"/>
  <sheetViews>
    <sheetView topLeftCell="G1" workbookViewId="0"/>
  </sheetViews>
  <sheetFormatPr defaultRowHeight="14.5" x14ac:dyDescent="0.35"/>
  <cols>
    <col min="1" max="1" width="4.7265625" bestFit="1" customWidth="1"/>
    <col min="2" max="2" width="15.1796875" bestFit="1" customWidth="1"/>
    <col min="3" max="3" width="21.54296875" bestFit="1" customWidth="1"/>
    <col min="4" max="4" width="9.7265625" bestFit="1" customWidth="1"/>
    <col min="5" max="5" width="15.26953125" bestFit="1" customWidth="1"/>
    <col min="6" max="6" width="11.453125" bestFit="1" customWidth="1"/>
    <col min="7" max="7" width="20.1796875" bestFit="1" customWidth="1"/>
    <col min="8" max="8" width="11" bestFit="1" customWidth="1"/>
    <col min="9" max="9" width="11.26953125" bestFit="1" customWidth="1"/>
    <col min="10" max="10" width="7.81640625" bestFit="1" customWidth="1"/>
    <col min="11" max="11" width="9.453125" bestFit="1" customWidth="1"/>
    <col min="12" max="12" width="16.1796875" bestFit="1" customWidth="1"/>
    <col min="13" max="13" width="14.1796875" bestFit="1" customWidth="1"/>
    <col min="14" max="14" width="9.6328125" bestFit="1" customWidth="1"/>
    <col min="15" max="15" width="6.81640625" bestFit="1" customWidth="1"/>
    <col min="16" max="16" width="12.453125" bestFit="1" customWidth="1"/>
    <col min="17" max="17" width="10.81640625" bestFit="1" customWidth="1"/>
    <col min="18" max="18" width="9.81640625" bestFit="1" customWidth="1"/>
    <col min="19" max="19" width="14.1796875" style="22" bestFit="1" customWidth="1"/>
    <col min="20" max="20" width="12.542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88</v>
      </c>
      <c r="O1" t="s">
        <v>13</v>
      </c>
      <c r="P1" t="s">
        <v>14</v>
      </c>
      <c r="Q1" t="s">
        <v>15</v>
      </c>
      <c r="R1" t="s">
        <v>16</v>
      </c>
      <c r="S1" s="22" t="s">
        <v>17</v>
      </c>
      <c r="T1" t="s">
        <v>71</v>
      </c>
    </row>
    <row r="2" spans="1:20" x14ac:dyDescent="0.35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>
        <v>1618.5</v>
      </c>
      <c r="G2">
        <v>3</v>
      </c>
      <c r="H2">
        <v>20</v>
      </c>
      <c r="I2">
        <v>0</v>
      </c>
      <c r="J2">
        <v>16185</v>
      </c>
      <c r="K2" s="2">
        <v>41640</v>
      </c>
      <c r="L2">
        <v>1</v>
      </c>
      <c r="M2" s="1" t="s">
        <v>22</v>
      </c>
      <c r="N2" s="1" t="s">
        <v>77</v>
      </c>
      <c r="O2">
        <v>2014</v>
      </c>
      <c r="P2">
        <v>32370</v>
      </c>
      <c r="Q2">
        <v>32370</v>
      </c>
      <c r="R2">
        <v>16185</v>
      </c>
      <c r="S2" s="22">
        <v>0.5</v>
      </c>
      <c r="T2" t="str" cm="1">
        <f t="array" ref="T2">_xlfn.SWITCH(TRUE,data[[#This Row],[Profit Margin]]&lt;0,"Negative",data[[#This Row],[Profit Margin]]&lt;0.1,"Low",data[[#This Row],[Profit Margin]]&lt;0.2,"Medium","High")</f>
        <v>High</v>
      </c>
    </row>
    <row r="3" spans="1:20" x14ac:dyDescent="0.35">
      <c r="A3">
        <v>2</v>
      </c>
      <c r="B3" s="1" t="s">
        <v>18</v>
      </c>
      <c r="C3" s="1" t="s">
        <v>23</v>
      </c>
      <c r="D3" s="1" t="s">
        <v>20</v>
      </c>
      <c r="E3" s="1" t="s">
        <v>21</v>
      </c>
      <c r="F3">
        <v>1321</v>
      </c>
      <c r="G3">
        <v>3</v>
      </c>
      <c r="H3">
        <v>20</v>
      </c>
      <c r="I3">
        <v>0</v>
      </c>
      <c r="J3">
        <v>13210</v>
      </c>
      <c r="K3" s="2">
        <v>41640</v>
      </c>
      <c r="L3">
        <v>1</v>
      </c>
      <c r="M3" s="1" t="s">
        <v>22</v>
      </c>
      <c r="N3" s="1" t="s">
        <v>77</v>
      </c>
      <c r="O3">
        <v>2014</v>
      </c>
      <c r="P3">
        <v>26420</v>
      </c>
      <c r="Q3">
        <v>26420</v>
      </c>
      <c r="R3">
        <v>13210</v>
      </c>
      <c r="S3" s="22">
        <v>0.5</v>
      </c>
      <c r="T3" t="str" cm="1">
        <f t="array" ref="T3">_xlfn.SWITCH(TRUE,data[[#This Row],[Profit Margin]]&lt;0,"Negative",data[[#This Row],[Profit Margin]]&lt;0.1,"Low",data[[#This Row],[Profit Margin]]&lt;0.2,"Medium","High")</f>
        <v>High</v>
      </c>
    </row>
    <row r="4" spans="1:20" x14ac:dyDescent="0.35">
      <c r="A4">
        <v>3</v>
      </c>
      <c r="B4" s="1" t="s">
        <v>24</v>
      </c>
      <c r="C4" s="1" t="s">
        <v>25</v>
      </c>
      <c r="D4" s="1" t="s">
        <v>20</v>
      </c>
      <c r="E4" s="1" t="s">
        <v>21</v>
      </c>
      <c r="F4">
        <v>2178</v>
      </c>
      <c r="G4">
        <v>3</v>
      </c>
      <c r="H4">
        <v>15</v>
      </c>
      <c r="I4">
        <v>0</v>
      </c>
      <c r="J4">
        <v>21780</v>
      </c>
      <c r="K4" s="2">
        <v>41791</v>
      </c>
      <c r="L4">
        <v>6</v>
      </c>
      <c r="M4" s="1" t="s">
        <v>26</v>
      </c>
      <c r="N4" s="1" t="s">
        <v>78</v>
      </c>
      <c r="O4">
        <v>2014</v>
      </c>
      <c r="P4">
        <v>32670</v>
      </c>
      <c r="Q4">
        <v>32670</v>
      </c>
      <c r="R4">
        <v>10890</v>
      </c>
      <c r="S4" s="22">
        <v>0.33333333333333331</v>
      </c>
      <c r="T4" t="str" cm="1">
        <f t="array" ref="T4">_xlfn.SWITCH(TRUE,data[[#This Row],[Profit Margin]]&lt;0,"Negative",data[[#This Row],[Profit Margin]]&lt;0.1,"Low",data[[#This Row],[Profit Margin]]&lt;0.2,"Medium","High")</f>
        <v>High</v>
      </c>
    </row>
    <row r="5" spans="1:20" x14ac:dyDescent="0.35">
      <c r="A5">
        <v>4</v>
      </c>
      <c r="B5" s="1" t="s">
        <v>24</v>
      </c>
      <c r="C5" s="1" t="s">
        <v>23</v>
      </c>
      <c r="D5" s="1" t="s">
        <v>20</v>
      </c>
      <c r="E5" s="1" t="s">
        <v>21</v>
      </c>
      <c r="F5">
        <v>888</v>
      </c>
      <c r="G5">
        <v>3</v>
      </c>
      <c r="H5">
        <v>15</v>
      </c>
      <c r="I5">
        <v>0</v>
      </c>
      <c r="J5">
        <v>8880</v>
      </c>
      <c r="K5" s="2">
        <v>41791</v>
      </c>
      <c r="L5">
        <v>6</v>
      </c>
      <c r="M5" s="1" t="s">
        <v>26</v>
      </c>
      <c r="N5" s="1" t="s">
        <v>78</v>
      </c>
      <c r="O5">
        <v>2014</v>
      </c>
      <c r="P5">
        <v>13320</v>
      </c>
      <c r="Q5">
        <v>13320</v>
      </c>
      <c r="R5">
        <v>4440</v>
      </c>
      <c r="S5" s="22">
        <v>0.33333333333333331</v>
      </c>
      <c r="T5" t="str" cm="1">
        <f t="array" ref="T5">_xlfn.SWITCH(TRUE,data[[#This Row],[Profit Margin]]&lt;0,"Negative",data[[#This Row],[Profit Margin]]&lt;0.1,"Low",data[[#This Row],[Profit Margin]]&lt;0.2,"Medium","High")</f>
        <v>High</v>
      </c>
    </row>
    <row r="6" spans="1:20" x14ac:dyDescent="0.35">
      <c r="A6">
        <v>5</v>
      </c>
      <c r="B6" s="1" t="s">
        <v>24</v>
      </c>
      <c r="C6" s="1" t="s">
        <v>27</v>
      </c>
      <c r="D6" s="1" t="s">
        <v>20</v>
      </c>
      <c r="E6" s="1" t="s">
        <v>21</v>
      </c>
      <c r="F6">
        <v>2470</v>
      </c>
      <c r="G6">
        <v>3</v>
      </c>
      <c r="H6">
        <v>15</v>
      </c>
      <c r="I6">
        <v>0</v>
      </c>
      <c r="J6">
        <v>24700</v>
      </c>
      <c r="K6" s="2">
        <v>41791</v>
      </c>
      <c r="L6">
        <v>6</v>
      </c>
      <c r="M6" s="1" t="s">
        <v>26</v>
      </c>
      <c r="N6" s="1" t="s">
        <v>78</v>
      </c>
      <c r="O6">
        <v>2014</v>
      </c>
      <c r="P6">
        <v>37050</v>
      </c>
      <c r="Q6">
        <v>37050</v>
      </c>
      <c r="R6">
        <v>12350</v>
      </c>
      <c r="S6" s="22">
        <v>0.33333333333333331</v>
      </c>
      <c r="T6" t="str" cm="1">
        <f t="array" ref="T6">_xlfn.SWITCH(TRUE,data[[#This Row],[Profit Margin]]&lt;0,"Negative",data[[#This Row],[Profit Margin]]&lt;0.1,"Low",data[[#This Row],[Profit Margin]]&lt;0.2,"Medium","High")</f>
        <v>High</v>
      </c>
    </row>
    <row r="7" spans="1:20" x14ac:dyDescent="0.35">
      <c r="A7">
        <v>6</v>
      </c>
      <c r="B7" s="1" t="s">
        <v>18</v>
      </c>
      <c r="C7" s="1" t="s">
        <v>23</v>
      </c>
      <c r="D7" s="1" t="s">
        <v>20</v>
      </c>
      <c r="E7" s="1" t="s">
        <v>21</v>
      </c>
      <c r="F7">
        <v>1513</v>
      </c>
      <c r="G7">
        <v>3</v>
      </c>
      <c r="H7">
        <v>350</v>
      </c>
      <c r="I7">
        <v>0</v>
      </c>
      <c r="J7">
        <v>393380</v>
      </c>
      <c r="K7" s="2">
        <v>41974</v>
      </c>
      <c r="L7">
        <v>12</v>
      </c>
      <c r="M7" s="1" t="s">
        <v>28</v>
      </c>
      <c r="N7" s="1" t="s">
        <v>79</v>
      </c>
      <c r="O7">
        <v>2014</v>
      </c>
      <c r="P7">
        <v>529550</v>
      </c>
      <c r="Q7">
        <v>529550</v>
      </c>
      <c r="R7">
        <v>136170</v>
      </c>
      <c r="S7" s="22">
        <v>0.25714285714285712</v>
      </c>
      <c r="T7" t="str" cm="1">
        <f t="array" ref="T7">_xlfn.SWITCH(TRUE,data[[#This Row],[Profit Margin]]&lt;0,"Negative",data[[#This Row],[Profit Margin]]&lt;0.1,"Low",data[[#This Row],[Profit Margin]]&lt;0.2,"Medium","High")</f>
        <v>High</v>
      </c>
    </row>
    <row r="8" spans="1:20" x14ac:dyDescent="0.35">
      <c r="A8">
        <v>7</v>
      </c>
      <c r="B8" s="1" t="s">
        <v>24</v>
      </c>
      <c r="C8" s="1" t="s">
        <v>23</v>
      </c>
      <c r="D8" s="1" t="s">
        <v>29</v>
      </c>
      <c r="E8" s="1" t="s">
        <v>21</v>
      </c>
      <c r="F8">
        <v>921</v>
      </c>
      <c r="G8">
        <v>5</v>
      </c>
      <c r="H8">
        <v>15</v>
      </c>
      <c r="I8">
        <v>0</v>
      </c>
      <c r="J8">
        <v>9210</v>
      </c>
      <c r="K8" s="2">
        <v>41699</v>
      </c>
      <c r="L8">
        <v>3</v>
      </c>
      <c r="M8" s="1" t="s">
        <v>30</v>
      </c>
      <c r="N8" s="1" t="s">
        <v>80</v>
      </c>
      <c r="O8">
        <v>2014</v>
      </c>
      <c r="P8">
        <v>13815</v>
      </c>
      <c r="Q8">
        <v>13815</v>
      </c>
      <c r="R8">
        <v>4605</v>
      </c>
      <c r="S8" s="22">
        <v>0.33333333333333331</v>
      </c>
      <c r="T8" t="str" cm="1">
        <f t="array" ref="T8">_xlfn.SWITCH(TRUE,data[[#This Row],[Profit Margin]]&lt;0,"Negative",data[[#This Row],[Profit Margin]]&lt;0.1,"Low",data[[#This Row],[Profit Margin]]&lt;0.2,"Medium","High")</f>
        <v>High</v>
      </c>
    </row>
    <row r="9" spans="1:20" x14ac:dyDescent="0.35">
      <c r="A9">
        <v>8</v>
      </c>
      <c r="B9" s="1" t="s">
        <v>31</v>
      </c>
      <c r="C9" s="1" t="s">
        <v>19</v>
      </c>
      <c r="D9" s="1" t="s">
        <v>29</v>
      </c>
      <c r="E9" s="1" t="s">
        <v>21</v>
      </c>
      <c r="F9">
        <v>2518</v>
      </c>
      <c r="G9">
        <v>5</v>
      </c>
      <c r="H9">
        <v>12</v>
      </c>
      <c r="I9">
        <v>0</v>
      </c>
      <c r="J9">
        <v>7554</v>
      </c>
      <c r="K9" s="2">
        <v>41791</v>
      </c>
      <c r="L9">
        <v>6</v>
      </c>
      <c r="M9" s="1" t="s">
        <v>26</v>
      </c>
      <c r="N9" s="1" t="s">
        <v>78</v>
      </c>
      <c r="O9">
        <v>2014</v>
      </c>
      <c r="P9">
        <v>30216</v>
      </c>
      <c r="Q9">
        <v>30216</v>
      </c>
      <c r="R9">
        <v>22662</v>
      </c>
      <c r="S9" s="22">
        <v>0.75</v>
      </c>
      <c r="T9" t="str" cm="1">
        <f t="array" ref="T9">_xlfn.SWITCH(TRUE,data[[#This Row],[Profit Margin]]&lt;0,"Negative",data[[#This Row],[Profit Margin]]&lt;0.1,"Low",data[[#This Row],[Profit Margin]]&lt;0.2,"Medium","High")</f>
        <v>High</v>
      </c>
    </row>
    <row r="10" spans="1:20" x14ac:dyDescent="0.35">
      <c r="A10">
        <v>9</v>
      </c>
      <c r="B10" s="1" t="s">
        <v>18</v>
      </c>
      <c r="C10" s="1" t="s">
        <v>25</v>
      </c>
      <c r="D10" s="1" t="s">
        <v>29</v>
      </c>
      <c r="E10" s="1" t="s">
        <v>21</v>
      </c>
      <c r="F10">
        <v>1899</v>
      </c>
      <c r="G10">
        <v>5</v>
      </c>
      <c r="H10">
        <v>20</v>
      </c>
      <c r="I10">
        <v>0</v>
      </c>
      <c r="J10">
        <v>18990</v>
      </c>
      <c r="K10" s="2">
        <v>41791</v>
      </c>
      <c r="L10">
        <v>6</v>
      </c>
      <c r="M10" s="1" t="s">
        <v>26</v>
      </c>
      <c r="N10" s="1" t="s">
        <v>78</v>
      </c>
      <c r="O10">
        <v>2014</v>
      </c>
      <c r="P10">
        <v>37980</v>
      </c>
      <c r="Q10">
        <v>37980</v>
      </c>
      <c r="R10">
        <v>18990</v>
      </c>
      <c r="S10" s="22">
        <v>0.5</v>
      </c>
      <c r="T10" t="str" cm="1">
        <f t="array" ref="T10">_xlfn.SWITCH(TRUE,data[[#This Row],[Profit Margin]]&lt;0,"Negative",data[[#This Row],[Profit Margin]]&lt;0.1,"Low",data[[#This Row],[Profit Margin]]&lt;0.2,"Medium","High")</f>
        <v>High</v>
      </c>
    </row>
    <row r="11" spans="1:20" x14ac:dyDescent="0.35">
      <c r="A11">
        <v>10</v>
      </c>
      <c r="B11" s="1" t="s">
        <v>31</v>
      </c>
      <c r="C11" s="1" t="s">
        <v>23</v>
      </c>
      <c r="D11" s="1" t="s">
        <v>29</v>
      </c>
      <c r="E11" s="1" t="s">
        <v>21</v>
      </c>
      <c r="F11">
        <v>1545</v>
      </c>
      <c r="G11">
        <v>5</v>
      </c>
      <c r="H11">
        <v>12</v>
      </c>
      <c r="I11">
        <v>0</v>
      </c>
      <c r="J11">
        <v>4635</v>
      </c>
      <c r="K11" s="2">
        <v>41791</v>
      </c>
      <c r="L11">
        <v>6</v>
      </c>
      <c r="M11" s="1" t="s">
        <v>26</v>
      </c>
      <c r="N11" s="1" t="s">
        <v>78</v>
      </c>
      <c r="O11">
        <v>2014</v>
      </c>
      <c r="P11">
        <v>18540</v>
      </c>
      <c r="Q11">
        <v>18540</v>
      </c>
      <c r="R11">
        <v>13905</v>
      </c>
      <c r="S11" s="22">
        <v>0.75</v>
      </c>
      <c r="T11" t="str" cm="1">
        <f t="array" ref="T11">_xlfn.SWITCH(TRUE,data[[#This Row],[Profit Margin]]&lt;0,"Negative",data[[#This Row],[Profit Margin]]&lt;0.1,"Low",data[[#This Row],[Profit Margin]]&lt;0.2,"Medium","High")</f>
        <v>High</v>
      </c>
    </row>
    <row r="12" spans="1:20" x14ac:dyDescent="0.35">
      <c r="A12">
        <v>11</v>
      </c>
      <c r="B12" s="1" t="s">
        <v>24</v>
      </c>
      <c r="C12" s="1" t="s">
        <v>27</v>
      </c>
      <c r="D12" s="1" t="s">
        <v>29</v>
      </c>
      <c r="E12" s="1" t="s">
        <v>21</v>
      </c>
      <c r="F12">
        <v>2470</v>
      </c>
      <c r="G12">
        <v>5</v>
      </c>
      <c r="H12">
        <v>15</v>
      </c>
      <c r="I12">
        <v>0</v>
      </c>
      <c r="J12">
        <v>24700</v>
      </c>
      <c r="K12" s="2">
        <v>41791</v>
      </c>
      <c r="L12">
        <v>6</v>
      </c>
      <c r="M12" s="1" t="s">
        <v>26</v>
      </c>
      <c r="N12" s="1" t="s">
        <v>78</v>
      </c>
      <c r="O12">
        <v>2014</v>
      </c>
      <c r="P12">
        <v>37050</v>
      </c>
      <c r="Q12">
        <v>37050</v>
      </c>
      <c r="R12">
        <v>12350</v>
      </c>
      <c r="S12" s="22">
        <v>0.33333333333333331</v>
      </c>
      <c r="T12" t="str" cm="1">
        <f t="array" ref="T12">_xlfn.SWITCH(TRUE,data[[#This Row],[Profit Margin]]&lt;0,"Negative",data[[#This Row],[Profit Margin]]&lt;0.1,"Low",data[[#This Row],[Profit Margin]]&lt;0.2,"Medium","High")</f>
        <v>High</v>
      </c>
    </row>
    <row r="13" spans="1:20" x14ac:dyDescent="0.35">
      <c r="A13">
        <v>12</v>
      </c>
      <c r="B13" s="1" t="s">
        <v>32</v>
      </c>
      <c r="C13" s="1" t="s">
        <v>19</v>
      </c>
      <c r="D13" s="1" t="s">
        <v>29</v>
      </c>
      <c r="E13" s="1" t="s">
        <v>21</v>
      </c>
      <c r="F13">
        <v>2665.5</v>
      </c>
      <c r="G13">
        <v>5</v>
      </c>
      <c r="H13">
        <v>125</v>
      </c>
      <c r="I13">
        <v>0</v>
      </c>
      <c r="J13">
        <v>319860</v>
      </c>
      <c r="K13" s="2">
        <v>41821</v>
      </c>
      <c r="L13">
        <v>7</v>
      </c>
      <c r="M13" s="1" t="s">
        <v>33</v>
      </c>
      <c r="N13" s="1" t="s">
        <v>81</v>
      </c>
      <c r="O13">
        <v>2014</v>
      </c>
      <c r="P13">
        <v>333187.5</v>
      </c>
      <c r="Q13">
        <v>333187.5</v>
      </c>
      <c r="R13">
        <v>13327.5</v>
      </c>
      <c r="S13" s="22">
        <v>0.04</v>
      </c>
      <c r="T13" t="str" cm="1">
        <f t="array" ref="T13">_xlfn.SWITCH(TRUE,data[[#This Row],[Profit Margin]]&lt;0,"Negative",data[[#This Row],[Profit Margin]]&lt;0.1,"Low",data[[#This Row],[Profit Margin]]&lt;0.2,"Medium","High")</f>
        <v>Low</v>
      </c>
    </row>
    <row r="14" spans="1:20" x14ac:dyDescent="0.35">
      <c r="A14">
        <v>13</v>
      </c>
      <c r="B14" s="1" t="s">
        <v>34</v>
      </c>
      <c r="C14" s="1" t="s">
        <v>27</v>
      </c>
      <c r="D14" s="1" t="s">
        <v>29</v>
      </c>
      <c r="E14" s="1" t="s">
        <v>21</v>
      </c>
      <c r="F14">
        <v>958</v>
      </c>
      <c r="G14">
        <v>5</v>
      </c>
      <c r="H14">
        <v>300</v>
      </c>
      <c r="I14">
        <v>0</v>
      </c>
      <c r="J14">
        <v>239500</v>
      </c>
      <c r="K14" s="2">
        <v>41852</v>
      </c>
      <c r="L14">
        <v>8</v>
      </c>
      <c r="M14" s="1" t="s">
        <v>35</v>
      </c>
      <c r="N14" s="1" t="s">
        <v>82</v>
      </c>
      <c r="O14">
        <v>2014</v>
      </c>
      <c r="P14">
        <v>287400</v>
      </c>
      <c r="Q14">
        <v>287400</v>
      </c>
      <c r="R14">
        <v>47900</v>
      </c>
      <c r="S14" s="22">
        <v>0.16666666666666666</v>
      </c>
      <c r="T14" t="str" cm="1">
        <f t="array" ref="T14">_xlfn.SWITCH(TRUE,data[[#This Row],[Profit Margin]]&lt;0,"Negative",data[[#This Row],[Profit Margin]]&lt;0.1,"Low",data[[#This Row],[Profit Margin]]&lt;0.2,"Medium","High")</f>
        <v>Medium</v>
      </c>
    </row>
    <row r="15" spans="1:20" x14ac:dyDescent="0.35">
      <c r="A15">
        <v>14</v>
      </c>
      <c r="B15" s="1" t="s">
        <v>18</v>
      </c>
      <c r="C15" s="1" t="s">
        <v>23</v>
      </c>
      <c r="D15" s="1" t="s">
        <v>29</v>
      </c>
      <c r="E15" s="1" t="s">
        <v>21</v>
      </c>
      <c r="F15">
        <v>2146</v>
      </c>
      <c r="G15">
        <v>5</v>
      </c>
      <c r="H15">
        <v>7</v>
      </c>
      <c r="I15">
        <v>0</v>
      </c>
      <c r="J15">
        <v>10730</v>
      </c>
      <c r="K15" s="2">
        <v>41883</v>
      </c>
      <c r="L15">
        <v>9</v>
      </c>
      <c r="M15" s="1" t="s">
        <v>36</v>
      </c>
      <c r="N15" s="1" t="s">
        <v>83</v>
      </c>
      <c r="O15">
        <v>2014</v>
      </c>
      <c r="P15">
        <v>15022</v>
      </c>
      <c r="Q15">
        <v>15022</v>
      </c>
      <c r="R15">
        <v>4292</v>
      </c>
      <c r="S15" s="22">
        <v>0.2857142857142857</v>
      </c>
      <c r="T15" t="str" cm="1">
        <f t="array" ref="T15">_xlfn.SWITCH(TRUE,data[[#This Row],[Profit Margin]]&lt;0,"Negative",data[[#This Row],[Profit Margin]]&lt;0.1,"Low",data[[#This Row],[Profit Margin]]&lt;0.2,"Medium","High")</f>
        <v>High</v>
      </c>
    </row>
    <row r="16" spans="1:20" x14ac:dyDescent="0.35">
      <c r="A16">
        <v>15</v>
      </c>
      <c r="B16" s="1" t="s">
        <v>32</v>
      </c>
      <c r="C16" s="1" t="s">
        <v>19</v>
      </c>
      <c r="D16" s="1" t="s">
        <v>29</v>
      </c>
      <c r="E16" s="1" t="s">
        <v>21</v>
      </c>
      <c r="F16">
        <v>345</v>
      </c>
      <c r="G16">
        <v>5</v>
      </c>
      <c r="H16">
        <v>125</v>
      </c>
      <c r="I16">
        <v>0</v>
      </c>
      <c r="J16">
        <v>41400</v>
      </c>
      <c r="K16" s="2">
        <v>41548</v>
      </c>
      <c r="L16">
        <v>10</v>
      </c>
      <c r="M16" s="1" t="s">
        <v>37</v>
      </c>
      <c r="N16" s="1" t="s">
        <v>84</v>
      </c>
      <c r="O16">
        <v>2013</v>
      </c>
      <c r="P16">
        <v>43125</v>
      </c>
      <c r="Q16">
        <v>43125</v>
      </c>
      <c r="R16">
        <v>1725</v>
      </c>
      <c r="S16" s="22">
        <v>0.04</v>
      </c>
      <c r="T16" t="str" cm="1">
        <f t="array" ref="T16">_xlfn.SWITCH(TRUE,data[[#This Row],[Profit Margin]]&lt;0,"Negative",data[[#This Row],[Profit Margin]]&lt;0.1,"Low",data[[#This Row],[Profit Margin]]&lt;0.2,"Medium","High")</f>
        <v>Low</v>
      </c>
    </row>
    <row r="17" spans="1:20" x14ac:dyDescent="0.35">
      <c r="A17">
        <v>16</v>
      </c>
      <c r="B17" s="1" t="s">
        <v>24</v>
      </c>
      <c r="C17" s="1" t="s">
        <v>38</v>
      </c>
      <c r="D17" s="1" t="s">
        <v>29</v>
      </c>
      <c r="E17" s="1" t="s">
        <v>21</v>
      </c>
      <c r="F17">
        <v>615</v>
      </c>
      <c r="G17">
        <v>5</v>
      </c>
      <c r="H17">
        <v>15</v>
      </c>
      <c r="I17">
        <v>0</v>
      </c>
      <c r="J17">
        <v>6150</v>
      </c>
      <c r="K17" s="2">
        <v>41974</v>
      </c>
      <c r="L17">
        <v>12</v>
      </c>
      <c r="M17" s="1" t="s">
        <v>28</v>
      </c>
      <c r="N17" s="1" t="s">
        <v>79</v>
      </c>
      <c r="O17">
        <v>2014</v>
      </c>
      <c r="P17">
        <v>9225</v>
      </c>
      <c r="Q17">
        <v>9225</v>
      </c>
      <c r="R17">
        <v>3075</v>
      </c>
      <c r="S17" s="22">
        <v>0.33333333333333331</v>
      </c>
      <c r="T17" t="str" cm="1">
        <f t="array" ref="T17">_xlfn.SWITCH(TRUE,data[[#This Row],[Profit Margin]]&lt;0,"Negative",data[[#This Row],[Profit Margin]]&lt;0.1,"Low",data[[#This Row],[Profit Margin]]&lt;0.2,"Medium","High")</f>
        <v>High</v>
      </c>
    </row>
    <row r="18" spans="1:20" x14ac:dyDescent="0.35">
      <c r="A18">
        <v>17</v>
      </c>
      <c r="B18" s="1" t="s">
        <v>18</v>
      </c>
      <c r="C18" s="1" t="s">
        <v>19</v>
      </c>
      <c r="D18" s="1" t="s">
        <v>39</v>
      </c>
      <c r="E18" s="1" t="s">
        <v>21</v>
      </c>
      <c r="F18">
        <v>292</v>
      </c>
      <c r="G18">
        <v>10</v>
      </c>
      <c r="H18">
        <v>20</v>
      </c>
      <c r="I18">
        <v>0</v>
      </c>
      <c r="J18">
        <v>2920</v>
      </c>
      <c r="K18" s="2">
        <v>41671</v>
      </c>
      <c r="L18">
        <v>2</v>
      </c>
      <c r="M18" s="1" t="s">
        <v>40</v>
      </c>
      <c r="N18" s="1" t="s">
        <v>85</v>
      </c>
      <c r="O18">
        <v>2014</v>
      </c>
      <c r="P18">
        <v>5840</v>
      </c>
      <c r="Q18">
        <v>5840</v>
      </c>
      <c r="R18">
        <v>2920</v>
      </c>
      <c r="S18" s="22">
        <v>0.5</v>
      </c>
      <c r="T18" t="str" cm="1">
        <f t="array" ref="T18">_xlfn.SWITCH(TRUE,data[[#This Row],[Profit Margin]]&lt;0,"Negative",data[[#This Row],[Profit Margin]]&lt;0.1,"Low",data[[#This Row],[Profit Margin]]&lt;0.2,"Medium","High")</f>
        <v>High</v>
      </c>
    </row>
    <row r="19" spans="1:20" x14ac:dyDescent="0.35">
      <c r="A19">
        <v>18</v>
      </c>
      <c r="B19" s="1" t="s">
        <v>24</v>
      </c>
      <c r="C19" s="1" t="s">
        <v>27</v>
      </c>
      <c r="D19" s="1" t="s">
        <v>39</v>
      </c>
      <c r="E19" s="1" t="s">
        <v>21</v>
      </c>
      <c r="F19">
        <v>974</v>
      </c>
      <c r="G19">
        <v>10</v>
      </c>
      <c r="H19">
        <v>15</v>
      </c>
      <c r="I19">
        <v>0</v>
      </c>
      <c r="J19">
        <v>9740</v>
      </c>
      <c r="K19" s="2">
        <v>41671</v>
      </c>
      <c r="L19">
        <v>2</v>
      </c>
      <c r="M19" s="1" t="s">
        <v>40</v>
      </c>
      <c r="N19" s="1" t="s">
        <v>85</v>
      </c>
      <c r="O19">
        <v>2014</v>
      </c>
      <c r="P19">
        <v>14610</v>
      </c>
      <c r="Q19">
        <v>14610</v>
      </c>
      <c r="R19">
        <v>4870</v>
      </c>
      <c r="S19" s="22">
        <v>0.33333333333333331</v>
      </c>
      <c r="T19" t="str" cm="1">
        <f t="array" ref="T19">_xlfn.SWITCH(TRUE,data[[#This Row],[Profit Margin]]&lt;0,"Negative",data[[#This Row],[Profit Margin]]&lt;0.1,"Low",data[[#This Row],[Profit Margin]]&lt;0.2,"Medium","High")</f>
        <v>High</v>
      </c>
    </row>
    <row r="20" spans="1:20" x14ac:dyDescent="0.35">
      <c r="A20">
        <v>19</v>
      </c>
      <c r="B20" s="1" t="s">
        <v>31</v>
      </c>
      <c r="C20" s="1" t="s">
        <v>19</v>
      </c>
      <c r="D20" s="1" t="s">
        <v>39</v>
      </c>
      <c r="E20" s="1" t="s">
        <v>21</v>
      </c>
      <c r="F20">
        <v>2518</v>
      </c>
      <c r="G20">
        <v>10</v>
      </c>
      <c r="H20">
        <v>12</v>
      </c>
      <c r="I20">
        <v>0</v>
      </c>
      <c r="J20">
        <v>7554</v>
      </c>
      <c r="K20" s="2">
        <v>41791</v>
      </c>
      <c r="L20">
        <v>6</v>
      </c>
      <c r="M20" s="1" t="s">
        <v>26</v>
      </c>
      <c r="N20" s="1" t="s">
        <v>78</v>
      </c>
      <c r="O20">
        <v>2014</v>
      </c>
      <c r="P20">
        <v>30216</v>
      </c>
      <c r="Q20">
        <v>30216</v>
      </c>
      <c r="R20">
        <v>22662</v>
      </c>
      <c r="S20" s="22">
        <v>0.75</v>
      </c>
      <c r="T20" t="str" cm="1">
        <f t="array" ref="T20">_xlfn.SWITCH(TRUE,data[[#This Row],[Profit Margin]]&lt;0,"Negative",data[[#This Row],[Profit Margin]]&lt;0.1,"Low",data[[#This Row],[Profit Margin]]&lt;0.2,"Medium","High")</f>
        <v>High</v>
      </c>
    </row>
    <row r="21" spans="1:20" x14ac:dyDescent="0.35">
      <c r="A21">
        <v>20</v>
      </c>
      <c r="B21" s="1" t="s">
        <v>18</v>
      </c>
      <c r="C21" s="1" t="s">
        <v>23</v>
      </c>
      <c r="D21" s="1" t="s">
        <v>39</v>
      </c>
      <c r="E21" s="1" t="s">
        <v>21</v>
      </c>
      <c r="F21">
        <v>1006</v>
      </c>
      <c r="G21">
        <v>10</v>
      </c>
      <c r="H21">
        <v>350</v>
      </c>
      <c r="I21">
        <v>0</v>
      </c>
      <c r="J21">
        <v>261560</v>
      </c>
      <c r="K21" s="2">
        <v>41791</v>
      </c>
      <c r="L21">
        <v>6</v>
      </c>
      <c r="M21" s="1" t="s">
        <v>26</v>
      </c>
      <c r="N21" s="1" t="s">
        <v>78</v>
      </c>
      <c r="O21">
        <v>2014</v>
      </c>
      <c r="P21">
        <v>352100</v>
      </c>
      <c r="Q21">
        <v>352100</v>
      </c>
      <c r="R21">
        <v>90540</v>
      </c>
      <c r="S21" s="22">
        <v>0.25714285714285712</v>
      </c>
      <c r="T21" t="str" cm="1">
        <f t="array" ref="T21">_xlfn.SWITCH(TRUE,data[[#This Row],[Profit Margin]]&lt;0,"Negative",data[[#This Row],[Profit Margin]]&lt;0.1,"Low",data[[#This Row],[Profit Margin]]&lt;0.2,"Medium","High")</f>
        <v>High</v>
      </c>
    </row>
    <row r="22" spans="1:20" x14ac:dyDescent="0.35">
      <c r="A22">
        <v>21</v>
      </c>
      <c r="B22" s="1" t="s">
        <v>31</v>
      </c>
      <c r="C22" s="1" t="s">
        <v>23</v>
      </c>
      <c r="D22" s="1" t="s">
        <v>39</v>
      </c>
      <c r="E22" s="1" t="s">
        <v>21</v>
      </c>
      <c r="F22">
        <v>367</v>
      </c>
      <c r="G22">
        <v>10</v>
      </c>
      <c r="H22">
        <v>12</v>
      </c>
      <c r="I22">
        <v>0</v>
      </c>
      <c r="J22">
        <v>1101</v>
      </c>
      <c r="K22" s="2">
        <v>41821</v>
      </c>
      <c r="L22">
        <v>7</v>
      </c>
      <c r="M22" s="1" t="s">
        <v>33</v>
      </c>
      <c r="N22" s="1" t="s">
        <v>81</v>
      </c>
      <c r="O22">
        <v>2014</v>
      </c>
      <c r="P22">
        <v>4404</v>
      </c>
      <c r="Q22">
        <v>4404</v>
      </c>
      <c r="R22">
        <v>3303</v>
      </c>
      <c r="S22" s="22">
        <v>0.75</v>
      </c>
      <c r="T22" t="str" cm="1">
        <f t="array" ref="T22">_xlfn.SWITCH(TRUE,data[[#This Row],[Profit Margin]]&lt;0,"Negative",data[[#This Row],[Profit Margin]]&lt;0.1,"Low",data[[#This Row],[Profit Margin]]&lt;0.2,"Medium","High")</f>
        <v>High</v>
      </c>
    </row>
    <row r="23" spans="1:20" x14ac:dyDescent="0.35">
      <c r="A23">
        <v>22</v>
      </c>
      <c r="B23" s="1" t="s">
        <v>18</v>
      </c>
      <c r="C23" s="1" t="s">
        <v>27</v>
      </c>
      <c r="D23" s="1" t="s">
        <v>39</v>
      </c>
      <c r="E23" s="1" t="s">
        <v>21</v>
      </c>
      <c r="F23">
        <v>883</v>
      </c>
      <c r="G23">
        <v>10</v>
      </c>
      <c r="H23">
        <v>7</v>
      </c>
      <c r="I23">
        <v>0</v>
      </c>
      <c r="J23">
        <v>4415</v>
      </c>
      <c r="K23" s="2">
        <v>41852</v>
      </c>
      <c r="L23">
        <v>8</v>
      </c>
      <c r="M23" s="1" t="s">
        <v>35</v>
      </c>
      <c r="N23" s="1" t="s">
        <v>82</v>
      </c>
      <c r="O23">
        <v>2014</v>
      </c>
      <c r="P23">
        <v>6181</v>
      </c>
      <c r="Q23">
        <v>6181</v>
      </c>
      <c r="R23">
        <v>1766</v>
      </c>
      <c r="S23" s="22">
        <v>0.2857142857142857</v>
      </c>
      <c r="T23" t="str" cm="1">
        <f t="array" ref="T23">_xlfn.SWITCH(TRUE,data[[#This Row],[Profit Margin]]&lt;0,"Negative",data[[#This Row],[Profit Margin]]&lt;0.1,"Low",data[[#This Row],[Profit Margin]]&lt;0.2,"Medium","High")</f>
        <v>High</v>
      </c>
    </row>
    <row r="24" spans="1:20" x14ac:dyDescent="0.35">
      <c r="A24">
        <v>23</v>
      </c>
      <c r="B24" s="1" t="s">
        <v>24</v>
      </c>
      <c r="C24" s="1" t="s">
        <v>25</v>
      </c>
      <c r="D24" s="1" t="s">
        <v>39</v>
      </c>
      <c r="E24" s="1" t="s">
        <v>21</v>
      </c>
      <c r="F24">
        <v>549</v>
      </c>
      <c r="G24">
        <v>10</v>
      </c>
      <c r="H24">
        <v>15</v>
      </c>
      <c r="I24">
        <v>0</v>
      </c>
      <c r="J24">
        <v>5490</v>
      </c>
      <c r="K24" s="2">
        <v>41518</v>
      </c>
      <c r="L24">
        <v>9</v>
      </c>
      <c r="M24" s="1" t="s">
        <v>36</v>
      </c>
      <c r="N24" s="1" t="s">
        <v>83</v>
      </c>
      <c r="O24">
        <v>2013</v>
      </c>
      <c r="P24">
        <v>8235</v>
      </c>
      <c r="Q24">
        <v>8235</v>
      </c>
      <c r="R24">
        <v>2745</v>
      </c>
      <c r="S24" s="22">
        <v>0.33333333333333331</v>
      </c>
      <c r="T24" t="str" cm="1">
        <f t="array" ref="T24">_xlfn.SWITCH(TRUE,data[[#This Row],[Profit Margin]]&lt;0,"Negative",data[[#This Row],[Profit Margin]]&lt;0.1,"Low",data[[#This Row],[Profit Margin]]&lt;0.2,"Medium","High")</f>
        <v>High</v>
      </c>
    </row>
    <row r="25" spans="1:20" x14ac:dyDescent="0.35">
      <c r="A25">
        <v>24</v>
      </c>
      <c r="B25" s="1" t="s">
        <v>34</v>
      </c>
      <c r="C25" s="1" t="s">
        <v>27</v>
      </c>
      <c r="D25" s="1" t="s">
        <v>39</v>
      </c>
      <c r="E25" s="1" t="s">
        <v>21</v>
      </c>
      <c r="F25">
        <v>788</v>
      </c>
      <c r="G25">
        <v>10</v>
      </c>
      <c r="H25">
        <v>300</v>
      </c>
      <c r="I25">
        <v>0</v>
      </c>
      <c r="J25">
        <v>197000</v>
      </c>
      <c r="K25" s="2">
        <v>41518</v>
      </c>
      <c r="L25">
        <v>9</v>
      </c>
      <c r="M25" s="1" t="s">
        <v>36</v>
      </c>
      <c r="N25" s="1" t="s">
        <v>83</v>
      </c>
      <c r="O25">
        <v>2013</v>
      </c>
      <c r="P25">
        <v>236400</v>
      </c>
      <c r="Q25">
        <v>236400</v>
      </c>
      <c r="R25">
        <v>39400</v>
      </c>
      <c r="S25" s="22">
        <v>0.16666666666666666</v>
      </c>
      <c r="T25" t="str" cm="1">
        <f t="array" ref="T25">_xlfn.SWITCH(TRUE,data[[#This Row],[Profit Margin]]&lt;0,"Negative",data[[#This Row],[Profit Margin]]&lt;0.1,"Low",data[[#This Row],[Profit Margin]]&lt;0.2,"Medium","High")</f>
        <v>Medium</v>
      </c>
    </row>
    <row r="26" spans="1:20" x14ac:dyDescent="0.35">
      <c r="A26">
        <v>25</v>
      </c>
      <c r="B26" s="1" t="s">
        <v>24</v>
      </c>
      <c r="C26" s="1" t="s">
        <v>27</v>
      </c>
      <c r="D26" s="1" t="s">
        <v>39</v>
      </c>
      <c r="E26" s="1" t="s">
        <v>21</v>
      </c>
      <c r="F26">
        <v>2472</v>
      </c>
      <c r="G26">
        <v>10</v>
      </c>
      <c r="H26">
        <v>15</v>
      </c>
      <c r="I26">
        <v>0</v>
      </c>
      <c r="J26">
        <v>24720</v>
      </c>
      <c r="K26" s="2">
        <v>41883</v>
      </c>
      <c r="L26">
        <v>9</v>
      </c>
      <c r="M26" s="1" t="s">
        <v>36</v>
      </c>
      <c r="N26" s="1" t="s">
        <v>83</v>
      </c>
      <c r="O26">
        <v>2014</v>
      </c>
      <c r="P26">
        <v>37080</v>
      </c>
      <c r="Q26">
        <v>37080</v>
      </c>
      <c r="R26">
        <v>12360</v>
      </c>
      <c r="S26" s="22">
        <v>0.33333333333333331</v>
      </c>
      <c r="T26" t="str" cm="1">
        <f t="array" ref="T26">_xlfn.SWITCH(TRUE,data[[#This Row],[Profit Margin]]&lt;0,"Negative",data[[#This Row],[Profit Margin]]&lt;0.1,"Low",data[[#This Row],[Profit Margin]]&lt;0.2,"Medium","High")</f>
        <v>High</v>
      </c>
    </row>
    <row r="27" spans="1:20" x14ac:dyDescent="0.35">
      <c r="A27">
        <v>26</v>
      </c>
      <c r="B27" s="1" t="s">
        <v>18</v>
      </c>
      <c r="C27" s="1" t="s">
        <v>38</v>
      </c>
      <c r="D27" s="1" t="s">
        <v>39</v>
      </c>
      <c r="E27" s="1" t="s">
        <v>21</v>
      </c>
      <c r="F27">
        <v>1143</v>
      </c>
      <c r="G27">
        <v>10</v>
      </c>
      <c r="H27">
        <v>7</v>
      </c>
      <c r="I27">
        <v>0</v>
      </c>
      <c r="J27">
        <v>5715</v>
      </c>
      <c r="K27" s="2">
        <v>41913</v>
      </c>
      <c r="L27">
        <v>10</v>
      </c>
      <c r="M27" s="1" t="s">
        <v>37</v>
      </c>
      <c r="N27" s="1" t="s">
        <v>84</v>
      </c>
      <c r="O27">
        <v>2014</v>
      </c>
      <c r="P27">
        <v>8001</v>
      </c>
      <c r="Q27">
        <v>8001</v>
      </c>
      <c r="R27">
        <v>2286</v>
      </c>
      <c r="S27" s="22">
        <v>0.2857142857142857</v>
      </c>
      <c r="T27" t="str" cm="1">
        <f t="array" ref="T27">_xlfn.SWITCH(TRUE,data[[#This Row],[Profit Margin]]&lt;0,"Negative",data[[#This Row],[Profit Margin]]&lt;0.1,"Low",data[[#This Row],[Profit Margin]]&lt;0.2,"Medium","High")</f>
        <v>High</v>
      </c>
    </row>
    <row r="28" spans="1:20" x14ac:dyDescent="0.35">
      <c r="A28">
        <v>27</v>
      </c>
      <c r="B28" s="1" t="s">
        <v>18</v>
      </c>
      <c r="C28" s="1" t="s">
        <v>19</v>
      </c>
      <c r="D28" s="1" t="s">
        <v>39</v>
      </c>
      <c r="E28" s="1" t="s">
        <v>21</v>
      </c>
      <c r="F28">
        <v>1725</v>
      </c>
      <c r="G28">
        <v>10</v>
      </c>
      <c r="H28">
        <v>350</v>
      </c>
      <c r="I28">
        <v>0</v>
      </c>
      <c r="J28">
        <v>448500</v>
      </c>
      <c r="K28" s="2">
        <v>41579</v>
      </c>
      <c r="L28">
        <v>11</v>
      </c>
      <c r="M28" s="1" t="s">
        <v>41</v>
      </c>
      <c r="N28" s="1" t="s">
        <v>86</v>
      </c>
      <c r="O28">
        <v>2013</v>
      </c>
      <c r="P28">
        <v>603750</v>
      </c>
      <c r="Q28">
        <v>603750</v>
      </c>
      <c r="R28">
        <v>155250</v>
      </c>
      <c r="S28" s="22">
        <v>0.25714285714285712</v>
      </c>
      <c r="T28" t="str" cm="1">
        <f t="array" ref="T28">_xlfn.SWITCH(TRUE,data[[#This Row],[Profit Margin]]&lt;0,"Negative",data[[#This Row],[Profit Margin]]&lt;0.1,"Low",data[[#This Row],[Profit Margin]]&lt;0.2,"Medium","High")</f>
        <v>High</v>
      </c>
    </row>
    <row r="29" spans="1:20" x14ac:dyDescent="0.35">
      <c r="A29">
        <v>28</v>
      </c>
      <c r="B29" s="1" t="s">
        <v>31</v>
      </c>
      <c r="C29" s="1" t="s">
        <v>38</v>
      </c>
      <c r="D29" s="1" t="s">
        <v>39</v>
      </c>
      <c r="E29" s="1" t="s">
        <v>21</v>
      </c>
      <c r="F29">
        <v>912</v>
      </c>
      <c r="G29">
        <v>10</v>
      </c>
      <c r="H29">
        <v>12</v>
      </c>
      <c r="I29">
        <v>0</v>
      </c>
      <c r="J29">
        <v>2736</v>
      </c>
      <c r="K29" s="2">
        <v>41579</v>
      </c>
      <c r="L29">
        <v>11</v>
      </c>
      <c r="M29" s="1" t="s">
        <v>41</v>
      </c>
      <c r="N29" s="1" t="s">
        <v>86</v>
      </c>
      <c r="O29">
        <v>2013</v>
      </c>
      <c r="P29">
        <v>10944</v>
      </c>
      <c r="Q29">
        <v>10944</v>
      </c>
      <c r="R29">
        <v>8208</v>
      </c>
      <c r="S29" s="22">
        <v>0.75</v>
      </c>
      <c r="T29" t="str" cm="1">
        <f t="array" ref="T29">_xlfn.SWITCH(TRUE,data[[#This Row],[Profit Margin]]&lt;0,"Negative",data[[#This Row],[Profit Margin]]&lt;0.1,"Low",data[[#This Row],[Profit Margin]]&lt;0.2,"Medium","High")</f>
        <v>High</v>
      </c>
    </row>
    <row r="30" spans="1:20" x14ac:dyDescent="0.35">
      <c r="A30">
        <v>29</v>
      </c>
      <c r="B30" s="1" t="s">
        <v>24</v>
      </c>
      <c r="C30" s="1" t="s">
        <v>19</v>
      </c>
      <c r="D30" s="1" t="s">
        <v>39</v>
      </c>
      <c r="E30" s="1" t="s">
        <v>21</v>
      </c>
      <c r="F30">
        <v>2152</v>
      </c>
      <c r="G30">
        <v>10</v>
      </c>
      <c r="H30">
        <v>15</v>
      </c>
      <c r="I30">
        <v>0</v>
      </c>
      <c r="J30">
        <v>21520</v>
      </c>
      <c r="K30" s="2">
        <v>41609</v>
      </c>
      <c r="L30">
        <v>12</v>
      </c>
      <c r="M30" s="1" t="s">
        <v>28</v>
      </c>
      <c r="N30" s="1" t="s">
        <v>79</v>
      </c>
      <c r="O30">
        <v>2013</v>
      </c>
      <c r="P30">
        <v>32280</v>
      </c>
      <c r="Q30">
        <v>32280</v>
      </c>
      <c r="R30">
        <v>10760</v>
      </c>
      <c r="S30" s="22">
        <v>0.33333333333333331</v>
      </c>
      <c r="T30" t="str" cm="1">
        <f t="array" ref="T30">_xlfn.SWITCH(TRUE,data[[#This Row],[Profit Margin]]&lt;0,"Negative",data[[#This Row],[Profit Margin]]&lt;0.1,"Low",data[[#This Row],[Profit Margin]]&lt;0.2,"Medium","High")</f>
        <v>High</v>
      </c>
    </row>
    <row r="31" spans="1:20" x14ac:dyDescent="0.35">
      <c r="A31">
        <v>30</v>
      </c>
      <c r="B31" s="1" t="s">
        <v>18</v>
      </c>
      <c r="C31" s="1" t="s">
        <v>19</v>
      </c>
      <c r="D31" s="1" t="s">
        <v>39</v>
      </c>
      <c r="E31" s="1" t="s">
        <v>21</v>
      </c>
      <c r="F31">
        <v>1817</v>
      </c>
      <c r="G31">
        <v>10</v>
      </c>
      <c r="H31">
        <v>20</v>
      </c>
      <c r="I31">
        <v>0</v>
      </c>
      <c r="J31">
        <v>18170</v>
      </c>
      <c r="K31" s="2">
        <v>41974</v>
      </c>
      <c r="L31">
        <v>12</v>
      </c>
      <c r="M31" s="1" t="s">
        <v>28</v>
      </c>
      <c r="N31" s="1" t="s">
        <v>79</v>
      </c>
      <c r="O31">
        <v>2014</v>
      </c>
      <c r="P31">
        <v>36340</v>
      </c>
      <c r="Q31">
        <v>36340</v>
      </c>
      <c r="R31">
        <v>18170</v>
      </c>
      <c r="S31" s="22">
        <v>0.5</v>
      </c>
      <c r="T31" t="str" cm="1">
        <f t="array" ref="T31">_xlfn.SWITCH(TRUE,data[[#This Row],[Profit Margin]]&lt;0,"Negative",data[[#This Row],[Profit Margin]]&lt;0.1,"Low",data[[#This Row],[Profit Margin]]&lt;0.2,"Medium","High")</f>
        <v>High</v>
      </c>
    </row>
    <row r="32" spans="1:20" x14ac:dyDescent="0.35">
      <c r="A32">
        <v>31</v>
      </c>
      <c r="B32" s="1" t="s">
        <v>18</v>
      </c>
      <c r="C32" s="1" t="s">
        <v>23</v>
      </c>
      <c r="D32" s="1" t="s">
        <v>39</v>
      </c>
      <c r="E32" s="1" t="s">
        <v>21</v>
      </c>
      <c r="F32">
        <v>1513</v>
      </c>
      <c r="G32">
        <v>10</v>
      </c>
      <c r="H32">
        <v>350</v>
      </c>
      <c r="I32">
        <v>0</v>
      </c>
      <c r="J32">
        <v>393380</v>
      </c>
      <c r="K32" s="2">
        <v>41974</v>
      </c>
      <c r="L32">
        <v>12</v>
      </c>
      <c r="M32" s="1" t="s">
        <v>28</v>
      </c>
      <c r="N32" s="1" t="s">
        <v>79</v>
      </c>
      <c r="O32">
        <v>2014</v>
      </c>
      <c r="P32">
        <v>529550</v>
      </c>
      <c r="Q32">
        <v>529550</v>
      </c>
      <c r="R32">
        <v>136170</v>
      </c>
      <c r="S32" s="22">
        <v>0.25714285714285712</v>
      </c>
      <c r="T32" t="str" cm="1">
        <f t="array" ref="T32">_xlfn.SWITCH(TRUE,data[[#This Row],[Profit Margin]]&lt;0,"Negative",data[[#This Row],[Profit Margin]]&lt;0.1,"Low",data[[#This Row],[Profit Margin]]&lt;0.2,"Medium","High")</f>
        <v>High</v>
      </c>
    </row>
    <row r="33" spans="1:20" x14ac:dyDescent="0.35">
      <c r="A33">
        <v>32</v>
      </c>
      <c r="B33" s="1" t="s">
        <v>18</v>
      </c>
      <c r="C33" s="1" t="s">
        <v>27</v>
      </c>
      <c r="D33" s="1" t="s">
        <v>42</v>
      </c>
      <c r="E33" s="1" t="s">
        <v>21</v>
      </c>
      <c r="F33">
        <v>1493</v>
      </c>
      <c r="G33">
        <v>120</v>
      </c>
      <c r="H33">
        <v>7</v>
      </c>
      <c r="I33">
        <v>0</v>
      </c>
      <c r="J33">
        <v>7465</v>
      </c>
      <c r="K33" s="2">
        <v>41640</v>
      </c>
      <c r="L33">
        <v>1</v>
      </c>
      <c r="M33" s="1" t="s">
        <v>22</v>
      </c>
      <c r="N33" s="1" t="s">
        <v>77</v>
      </c>
      <c r="O33">
        <v>2014</v>
      </c>
      <c r="P33">
        <v>10451</v>
      </c>
      <c r="Q33">
        <v>10451</v>
      </c>
      <c r="R33">
        <v>2986</v>
      </c>
      <c r="S33" s="22">
        <v>0.2857142857142857</v>
      </c>
      <c r="T33" t="str" cm="1">
        <f t="array" ref="T33">_xlfn.SWITCH(TRUE,data[[#This Row],[Profit Margin]]&lt;0,"Negative",data[[#This Row],[Profit Margin]]&lt;0.1,"Low",data[[#This Row],[Profit Margin]]&lt;0.2,"Medium","High")</f>
        <v>High</v>
      </c>
    </row>
    <row r="34" spans="1:20" x14ac:dyDescent="0.35">
      <c r="A34">
        <v>33</v>
      </c>
      <c r="B34" s="1" t="s">
        <v>32</v>
      </c>
      <c r="C34" s="1" t="s">
        <v>25</v>
      </c>
      <c r="D34" s="1" t="s">
        <v>42</v>
      </c>
      <c r="E34" s="1" t="s">
        <v>21</v>
      </c>
      <c r="F34">
        <v>1804</v>
      </c>
      <c r="G34">
        <v>120</v>
      </c>
      <c r="H34">
        <v>125</v>
      </c>
      <c r="I34">
        <v>0</v>
      </c>
      <c r="J34">
        <v>216480</v>
      </c>
      <c r="K34" s="2">
        <v>41671</v>
      </c>
      <c r="L34">
        <v>2</v>
      </c>
      <c r="M34" s="1" t="s">
        <v>40</v>
      </c>
      <c r="N34" s="1" t="s">
        <v>85</v>
      </c>
      <c r="O34">
        <v>2014</v>
      </c>
      <c r="P34">
        <v>225500</v>
      </c>
      <c r="Q34">
        <v>225500</v>
      </c>
      <c r="R34">
        <v>9020</v>
      </c>
      <c r="S34" s="22">
        <v>0.04</v>
      </c>
      <c r="T34" t="str" cm="1">
        <f t="array" ref="T34">_xlfn.SWITCH(TRUE,data[[#This Row],[Profit Margin]]&lt;0,"Negative",data[[#This Row],[Profit Margin]]&lt;0.1,"Low",data[[#This Row],[Profit Margin]]&lt;0.2,"Medium","High")</f>
        <v>Low</v>
      </c>
    </row>
    <row r="35" spans="1:20" x14ac:dyDescent="0.35">
      <c r="A35">
        <v>34</v>
      </c>
      <c r="B35" s="1" t="s">
        <v>31</v>
      </c>
      <c r="C35" s="1" t="s">
        <v>23</v>
      </c>
      <c r="D35" s="1" t="s">
        <v>42</v>
      </c>
      <c r="E35" s="1" t="s">
        <v>21</v>
      </c>
      <c r="F35">
        <v>2161</v>
      </c>
      <c r="G35">
        <v>120</v>
      </c>
      <c r="H35">
        <v>12</v>
      </c>
      <c r="I35">
        <v>0</v>
      </c>
      <c r="J35">
        <v>6483</v>
      </c>
      <c r="K35" s="2">
        <v>41699</v>
      </c>
      <c r="L35">
        <v>3</v>
      </c>
      <c r="M35" s="1" t="s">
        <v>30</v>
      </c>
      <c r="N35" s="1" t="s">
        <v>80</v>
      </c>
      <c r="O35">
        <v>2014</v>
      </c>
      <c r="P35">
        <v>25932</v>
      </c>
      <c r="Q35">
        <v>25932</v>
      </c>
      <c r="R35">
        <v>19449</v>
      </c>
      <c r="S35" s="22">
        <v>0.75</v>
      </c>
      <c r="T35" t="str" cm="1">
        <f t="array" ref="T35">_xlfn.SWITCH(TRUE,data[[#This Row],[Profit Margin]]&lt;0,"Negative",data[[#This Row],[Profit Margin]]&lt;0.1,"Low",data[[#This Row],[Profit Margin]]&lt;0.2,"Medium","High")</f>
        <v>High</v>
      </c>
    </row>
    <row r="36" spans="1:20" x14ac:dyDescent="0.35">
      <c r="A36">
        <v>35</v>
      </c>
      <c r="B36" s="1" t="s">
        <v>18</v>
      </c>
      <c r="C36" s="1" t="s">
        <v>23</v>
      </c>
      <c r="D36" s="1" t="s">
        <v>42</v>
      </c>
      <c r="E36" s="1" t="s">
        <v>21</v>
      </c>
      <c r="F36">
        <v>1006</v>
      </c>
      <c r="G36">
        <v>120</v>
      </c>
      <c r="H36">
        <v>350</v>
      </c>
      <c r="I36">
        <v>0</v>
      </c>
      <c r="J36">
        <v>261560</v>
      </c>
      <c r="K36" s="2">
        <v>41791</v>
      </c>
      <c r="L36">
        <v>6</v>
      </c>
      <c r="M36" s="1" t="s">
        <v>26</v>
      </c>
      <c r="N36" s="1" t="s">
        <v>78</v>
      </c>
      <c r="O36">
        <v>2014</v>
      </c>
      <c r="P36">
        <v>352100</v>
      </c>
      <c r="Q36">
        <v>352100</v>
      </c>
      <c r="R36">
        <v>90540</v>
      </c>
      <c r="S36" s="22">
        <v>0.25714285714285712</v>
      </c>
      <c r="T36" t="str" cm="1">
        <f t="array" ref="T36">_xlfn.SWITCH(TRUE,data[[#This Row],[Profit Margin]]&lt;0,"Negative",data[[#This Row],[Profit Margin]]&lt;0.1,"Low",data[[#This Row],[Profit Margin]]&lt;0.2,"Medium","High")</f>
        <v>High</v>
      </c>
    </row>
    <row r="37" spans="1:20" x14ac:dyDescent="0.35">
      <c r="A37">
        <v>36</v>
      </c>
      <c r="B37" s="1" t="s">
        <v>31</v>
      </c>
      <c r="C37" s="1" t="s">
        <v>23</v>
      </c>
      <c r="D37" s="1" t="s">
        <v>42</v>
      </c>
      <c r="E37" s="1" t="s">
        <v>21</v>
      </c>
      <c r="F37">
        <v>1545</v>
      </c>
      <c r="G37">
        <v>120</v>
      </c>
      <c r="H37">
        <v>12</v>
      </c>
      <c r="I37">
        <v>0</v>
      </c>
      <c r="J37">
        <v>4635</v>
      </c>
      <c r="K37" s="2">
        <v>41791</v>
      </c>
      <c r="L37">
        <v>6</v>
      </c>
      <c r="M37" s="1" t="s">
        <v>26</v>
      </c>
      <c r="N37" s="1" t="s">
        <v>78</v>
      </c>
      <c r="O37">
        <v>2014</v>
      </c>
      <c r="P37">
        <v>18540</v>
      </c>
      <c r="Q37">
        <v>18540</v>
      </c>
      <c r="R37">
        <v>13905</v>
      </c>
      <c r="S37" s="22">
        <v>0.75</v>
      </c>
      <c r="T37" t="str" cm="1">
        <f t="array" ref="T37">_xlfn.SWITCH(TRUE,data[[#This Row],[Profit Margin]]&lt;0,"Negative",data[[#This Row],[Profit Margin]]&lt;0.1,"Low",data[[#This Row],[Profit Margin]]&lt;0.2,"Medium","High")</f>
        <v>High</v>
      </c>
    </row>
    <row r="38" spans="1:20" x14ac:dyDescent="0.35">
      <c r="A38">
        <v>37</v>
      </c>
      <c r="B38" s="1" t="s">
        <v>32</v>
      </c>
      <c r="C38" s="1" t="s">
        <v>38</v>
      </c>
      <c r="D38" s="1" t="s">
        <v>42</v>
      </c>
      <c r="E38" s="1" t="s">
        <v>21</v>
      </c>
      <c r="F38">
        <v>2821</v>
      </c>
      <c r="G38">
        <v>120</v>
      </c>
      <c r="H38">
        <v>125</v>
      </c>
      <c r="I38">
        <v>0</v>
      </c>
      <c r="J38">
        <v>338520</v>
      </c>
      <c r="K38" s="2">
        <v>41852</v>
      </c>
      <c r="L38">
        <v>8</v>
      </c>
      <c r="M38" s="1" t="s">
        <v>35</v>
      </c>
      <c r="N38" s="1" t="s">
        <v>82</v>
      </c>
      <c r="O38">
        <v>2014</v>
      </c>
      <c r="P38">
        <v>352625</v>
      </c>
      <c r="Q38">
        <v>352625</v>
      </c>
      <c r="R38">
        <v>14105</v>
      </c>
      <c r="S38" s="22">
        <v>0.04</v>
      </c>
      <c r="T38" t="str" cm="1">
        <f t="array" ref="T38">_xlfn.SWITCH(TRUE,data[[#This Row],[Profit Margin]]&lt;0,"Negative",data[[#This Row],[Profit Margin]]&lt;0.1,"Low",data[[#This Row],[Profit Margin]]&lt;0.2,"Medium","High")</f>
        <v>Low</v>
      </c>
    </row>
    <row r="39" spans="1:20" x14ac:dyDescent="0.35">
      <c r="A39">
        <v>38</v>
      </c>
      <c r="B39" s="1" t="s">
        <v>32</v>
      </c>
      <c r="C39" s="1" t="s">
        <v>19</v>
      </c>
      <c r="D39" s="1" t="s">
        <v>42</v>
      </c>
      <c r="E39" s="1" t="s">
        <v>21</v>
      </c>
      <c r="F39">
        <v>345</v>
      </c>
      <c r="G39">
        <v>120</v>
      </c>
      <c r="H39">
        <v>125</v>
      </c>
      <c r="I39">
        <v>0</v>
      </c>
      <c r="J39">
        <v>41400</v>
      </c>
      <c r="K39" s="2">
        <v>41548</v>
      </c>
      <c r="L39">
        <v>10</v>
      </c>
      <c r="M39" s="1" t="s">
        <v>37</v>
      </c>
      <c r="N39" s="1" t="s">
        <v>84</v>
      </c>
      <c r="O39">
        <v>2013</v>
      </c>
      <c r="P39">
        <v>43125</v>
      </c>
      <c r="Q39">
        <v>43125</v>
      </c>
      <c r="R39">
        <v>1725</v>
      </c>
      <c r="S39" s="22">
        <v>0.04</v>
      </c>
      <c r="T39" t="str" cm="1">
        <f t="array" ref="T39">_xlfn.SWITCH(TRUE,data[[#This Row],[Profit Margin]]&lt;0,"Negative",data[[#This Row],[Profit Margin]]&lt;0.1,"Low",data[[#This Row],[Profit Margin]]&lt;0.2,"Medium","High")</f>
        <v>Low</v>
      </c>
    </row>
    <row r="40" spans="1:20" x14ac:dyDescent="0.35">
      <c r="A40">
        <v>39</v>
      </c>
      <c r="B40" s="1" t="s">
        <v>34</v>
      </c>
      <c r="C40" s="1" t="s">
        <v>19</v>
      </c>
      <c r="D40" s="1" t="s">
        <v>43</v>
      </c>
      <c r="E40" s="1" t="s">
        <v>21</v>
      </c>
      <c r="F40">
        <v>2001</v>
      </c>
      <c r="G40">
        <v>250</v>
      </c>
      <c r="H40">
        <v>300</v>
      </c>
      <c r="I40">
        <v>0</v>
      </c>
      <c r="J40">
        <v>500250</v>
      </c>
      <c r="K40" s="2">
        <v>41671</v>
      </c>
      <c r="L40">
        <v>2</v>
      </c>
      <c r="M40" s="1" t="s">
        <v>40</v>
      </c>
      <c r="N40" s="1" t="s">
        <v>85</v>
      </c>
      <c r="O40">
        <v>2014</v>
      </c>
      <c r="P40">
        <v>600300</v>
      </c>
      <c r="Q40">
        <v>600300</v>
      </c>
      <c r="R40">
        <v>100050</v>
      </c>
      <c r="S40" s="22">
        <v>0.16666666666666666</v>
      </c>
      <c r="T40" t="str" cm="1">
        <f t="array" ref="T40">_xlfn.SWITCH(TRUE,data[[#This Row],[Profit Margin]]&lt;0,"Negative",data[[#This Row],[Profit Margin]]&lt;0.1,"Low",data[[#This Row],[Profit Margin]]&lt;0.2,"Medium","High")</f>
        <v>Medium</v>
      </c>
    </row>
    <row r="41" spans="1:20" x14ac:dyDescent="0.35">
      <c r="A41">
        <v>40</v>
      </c>
      <c r="B41" s="1" t="s">
        <v>31</v>
      </c>
      <c r="C41" s="1" t="s">
        <v>23</v>
      </c>
      <c r="D41" s="1" t="s">
        <v>43</v>
      </c>
      <c r="E41" s="1" t="s">
        <v>21</v>
      </c>
      <c r="F41">
        <v>2838</v>
      </c>
      <c r="G41">
        <v>250</v>
      </c>
      <c r="H41">
        <v>12</v>
      </c>
      <c r="I41">
        <v>0</v>
      </c>
      <c r="J41">
        <v>8514</v>
      </c>
      <c r="K41" s="2">
        <v>41730</v>
      </c>
      <c r="L41">
        <v>4</v>
      </c>
      <c r="M41" s="1" t="s">
        <v>44</v>
      </c>
      <c r="N41" s="1" t="s">
        <v>87</v>
      </c>
      <c r="O41">
        <v>2014</v>
      </c>
      <c r="P41">
        <v>34056</v>
      </c>
      <c r="Q41">
        <v>34056</v>
      </c>
      <c r="R41">
        <v>25542</v>
      </c>
      <c r="S41" s="22">
        <v>0.75</v>
      </c>
      <c r="T41" t="str" cm="1">
        <f t="array" ref="T41">_xlfn.SWITCH(TRUE,data[[#This Row],[Profit Margin]]&lt;0,"Negative",data[[#This Row],[Profit Margin]]&lt;0.1,"Low",data[[#This Row],[Profit Margin]]&lt;0.2,"Medium","High")</f>
        <v>High</v>
      </c>
    </row>
    <row r="42" spans="1:20" x14ac:dyDescent="0.35">
      <c r="A42">
        <v>41</v>
      </c>
      <c r="B42" s="1" t="s">
        <v>24</v>
      </c>
      <c r="C42" s="1" t="s">
        <v>25</v>
      </c>
      <c r="D42" s="1" t="s">
        <v>43</v>
      </c>
      <c r="E42" s="1" t="s">
        <v>21</v>
      </c>
      <c r="F42">
        <v>2178</v>
      </c>
      <c r="G42">
        <v>250</v>
      </c>
      <c r="H42">
        <v>15</v>
      </c>
      <c r="I42">
        <v>0</v>
      </c>
      <c r="J42">
        <v>21780</v>
      </c>
      <c r="K42" s="2">
        <v>41791</v>
      </c>
      <c r="L42">
        <v>6</v>
      </c>
      <c r="M42" s="1" t="s">
        <v>26</v>
      </c>
      <c r="N42" s="1" t="s">
        <v>78</v>
      </c>
      <c r="O42">
        <v>2014</v>
      </c>
      <c r="P42">
        <v>32670</v>
      </c>
      <c r="Q42">
        <v>32670</v>
      </c>
      <c r="R42">
        <v>10890</v>
      </c>
      <c r="S42" s="22">
        <v>0.33333333333333331</v>
      </c>
      <c r="T42" t="str" cm="1">
        <f t="array" ref="T42">_xlfn.SWITCH(TRUE,data[[#This Row],[Profit Margin]]&lt;0,"Negative",data[[#This Row],[Profit Margin]]&lt;0.1,"Low",data[[#This Row],[Profit Margin]]&lt;0.2,"Medium","High")</f>
        <v>High</v>
      </c>
    </row>
    <row r="43" spans="1:20" x14ac:dyDescent="0.35">
      <c r="A43">
        <v>42</v>
      </c>
      <c r="B43" s="1" t="s">
        <v>24</v>
      </c>
      <c r="C43" s="1" t="s">
        <v>23</v>
      </c>
      <c r="D43" s="1" t="s">
        <v>43</v>
      </c>
      <c r="E43" s="1" t="s">
        <v>21</v>
      </c>
      <c r="F43">
        <v>888</v>
      </c>
      <c r="G43">
        <v>250</v>
      </c>
      <c r="H43">
        <v>15</v>
      </c>
      <c r="I43">
        <v>0</v>
      </c>
      <c r="J43">
        <v>8880</v>
      </c>
      <c r="K43" s="2">
        <v>41791</v>
      </c>
      <c r="L43">
        <v>6</v>
      </c>
      <c r="M43" s="1" t="s">
        <v>26</v>
      </c>
      <c r="N43" s="1" t="s">
        <v>78</v>
      </c>
      <c r="O43">
        <v>2014</v>
      </c>
      <c r="P43">
        <v>13320</v>
      </c>
      <c r="Q43">
        <v>13320</v>
      </c>
      <c r="R43">
        <v>4440</v>
      </c>
      <c r="S43" s="22">
        <v>0.33333333333333331</v>
      </c>
      <c r="T43" t="str" cm="1">
        <f t="array" ref="T43">_xlfn.SWITCH(TRUE,data[[#This Row],[Profit Margin]]&lt;0,"Negative",data[[#This Row],[Profit Margin]]&lt;0.1,"Low",data[[#This Row],[Profit Margin]]&lt;0.2,"Medium","High")</f>
        <v>High</v>
      </c>
    </row>
    <row r="44" spans="1:20" x14ac:dyDescent="0.35">
      <c r="A44">
        <v>43</v>
      </c>
      <c r="B44" s="1" t="s">
        <v>18</v>
      </c>
      <c r="C44" s="1" t="s">
        <v>25</v>
      </c>
      <c r="D44" s="1" t="s">
        <v>43</v>
      </c>
      <c r="E44" s="1" t="s">
        <v>21</v>
      </c>
      <c r="F44">
        <v>1527</v>
      </c>
      <c r="G44">
        <v>250</v>
      </c>
      <c r="H44">
        <v>350</v>
      </c>
      <c r="I44">
        <v>0</v>
      </c>
      <c r="J44">
        <v>397020</v>
      </c>
      <c r="K44" s="2">
        <v>41518</v>
      </c>
      <c r="L44">
        <v>9</v>
      </c>
      <c r="M44" s="1" t="s">
        <v>36</v>
      </c>
      <c r="N44" s="1" t="s">
        <v>83</v>
      </c>
      <c r="O44">
        <v>2013</v>
      </c>
      <c r="P44">
        <v>534450</v>
      </c>
      <c r="Q44">
        <v>534450</v>
      </c>
      <c r="R44">
        <v>137430</v>
      </c>
      <c r="S44" s="22">
        <v>0.25714285714285712</v>
      </c>
      <c r="T44" t="str" cm="1">
        <f t="array" ref="T44">_xlfn.SWITCH(TRUE,data[[#This Row],[Profit Margin]]&lt;0,"Negative",data[[#This Row],[Profit Margin]]&lt;0.1,"Low",data[[#This Row],[Profit Margin]]&lt;0.2,"Medium","High")</f>
        <v>High</v>
      </c>
    </row>
    <row r="45" spans="1:20" x14ac:dyDescent="0.35">
      <c r="A45">
        <v>44</v>
      </c>
      <c r="B45" s="1" t="s">
        <v>34</v>
      </c>
      <c r="C45" s="1" t="s">
        <v>25</v>
      </c>
      <c r="D45" s="1" t="s">
        <v>43</v>
      </c>
      <c r="E45" s="1" t="s">
        <v>21</v>
      </c>
      <c r="F45">
        <v>2151</v>
      </c>
      <c r="G45">
        <v>250</v>
      </c>
      <c r="H45">
        <v>300</v>
      </c>
      <c r="I45">
        <v>0</v>
      </c>
      <c r="J45">
        <v>537750</v>
      </c>
      <c r="K45" s="2">
        <v>41883</v>
      </c>
      <c r="L45">
        <v>9</v>
      </c>
      <c r="M45" s="1" t="s">
        <v>36</v>
      </c>
      <c r="N45" s="1" t="s">
        <v>83</v>
      </c>
      <c r="O45">
        <v>2014</v>
      </c>
      <c r="P45">
        <v>645300</v>
      </c>
      <c r="Q45">
        <v>645300</v>
      </c>
      <c r="R45">
        <v>107550</v>
      </c>
      <c r="S45" s="22">
        <v>0.16666666666666666</v>
      </c>
      <c r="T45" t="str" cm="1">
        <f t="array" ref="T45">_xlfn.SWITCH(TRUE,data[[#This Row],[Profit Margin]]&lt;0,"Negative",data[[#This Row],[Profit Margin]]&lt;0.1,"Low",data[[#This Row],[Profit Margin]]&lt;0.2,"Medium","High")</f>
        <v>Medium</v>
      </c>
    </row>
    <row r="46" spans="1:20" x14ac:dyDescent="0.35">
      <c r="A46">
        <v>45</v>
      </c>
      <c r="B46" s="1" t="s">
        <v>18</v>
      </c>
      <c r="C46" s="1" t="s">
        <v>19</v>
      </c>
      <c r="D46" s="1" t="s">
        <v>43</v>
      </c>
      <c r="E46" s="1" t="s">
        <v>21</v>
      </c>
      <c r="F46">
        <v>1817</v>
      </c>
      <c r="G46">
        <v>250</v>
      </c>
      <c r="H46">
        <v>20</v>
      </c>
      <c r="I46">
        <v>0</v>
      </c>
      <c r="J46">
        <v>18170</v>
      </c>
      <c r="K46" s="2">
        <v>41974</v>
      </c>
      <c r="L46">
        <v>12</v>
      </c>
      <c r="M46" s="1" t="s">
        <v>28</v>
      </c>
      <c r="N46" s="1" t="s">
        <v>79</v>
      </c>
      <c r="O46">
        <v>2014</v>
      </c>
      <c r="P46">
        <v>36340</v>
      </c>
      <c r="Q46">
        <v>36340</v>
      </c>
      <c r="R46">
        <v>18170</v>
      </c>
      <c r="S46" s="22">
        <v>0.5</v>
      </c>
      <c r="T46" t="str" cm="1">
        <f t="array" ref="T46">_xlfn.SWITCH(TRUE,data[[#This Row],[Profit Margin]]&lt;0,"Negative",data[[#This Row],[Profit Margin]]&lt;0.1,"Low",data[[#This Row],[Profit Margin]]&lt;0.2,"Medium","High")</f>
        <v>High</v>
      </c>
    </row>
    <row r="47" spans="1:20" x14ac:dyDescent="0.35">
      <c r="A47">
        <v>46</v>
      </c>
      <c r="B47" s="1" t="s">
        <v>18</v>
      </c>
      <c r="C47" s="1" t="s">
        <v>25</v>
      </c>
      <c r="D47" s="1" t="s">
        <v>45</v>
      </c>
      <c r="E47" s="1" t="s">
        <v>21</v>
      </c>
      <c r="F47">
        <v>2750</v>
      </c>
      <c r="G47">
        <v>260</v>
      </c>
      <c r="H47">
        <v>350</v>
      </c>
      <c r="I47">
        <v>0</v>
      </c>
      <c r="J47">
        <v>715000</v>
      </c>
      <c r="K47" s="2">
        <v>41671</v>
      </c>
      <c r="L47">
        <v>2</v>
      </c>
      <c r="M47" s="1" t="s">
        <v>40</v>
      </c>
      <c r="N47" s="1" t="s">
        <v>85</v>
      </c>
      <c r="O47">
        <v>2014</v>
      </c>
      <c r="P47">
        <v>962500</v>
      </c>
      <c r="Q47">
        <v>962500</v>
      </c>
      <c r="R47">
        <v>247500</v>
      </c>
      <c r="S47" s="22">
        <v>0.25714285714285712</v>
      </c>
      <c r="T47" t="str" cm="1">
        <f t="array" ref="T47">_xlfn.SWITCH(TRUE,data[[#This Row],[Profit Margin]]&lt;0,"Negative",data[[#This Row],[Profit Margin]]&lt;0.1,"Low",data[[#This Row],[Profit Margin]]&lt;0.2,"Medium","High")</f>
        <v>High</v>
      </c>
    </row>
    <row r="48" spans="1:20" x14ac:dyDescent="0.35">
      <c r="A48">
        <v>47</v>
      </c>
      <c r="B48" s="1" t="s">
        <v>31</v>
      </c>
      <c r="C48" s="1" t="s">
        <v>38</v>
      </c>
      <c r="D48" s="1" t="s">
        <v>45</v>
      </c>
      <c r="E48" s="1" t="s">
        <v>21</v>
      </c>
      <c r="F48">
        <v>1953</v>
      </c>
      <c r="G48">
        <v>260</v>
      </c>
      <c r="H48">
        <v>12</v>
      </c>
      <c r="I48">
        <v>0</v>
      </c>
      <c r="J48">
        <v>5859</v>
      </c>
      <c r="K48" s="2">
        <v>41730</v>
      </c>
      <c r="L48">
        <v>4</v>
      </c>
      <c r="M48" s="1" t="s">
        <v>44</v>
      </c>
      <c r="N48" s="1" t="s">
        <v>87</v>
      </c>
      <c r="O48">
        <v>2014</v>
      </c>
      <c r="P48">
        <v>23436</v>
      </c>
      <c r="Q48">
        <v>23436</v>
      </c>
      <c r="R48">
        <v>17577</v>
      </c>
      <c r="S48" s="22">
        <v>0.75</v>
      </c>
      <c r="T48" t="str" cm="1">
        <f t="array" ref="T48">_xlfn.SWITCH(TRUE,data[[#This Row],[Profit Margin]]&lt;0,"Negative",data[[#This Row],[Profit Margin]]&lt;0.1,"Low",data[[#This Row],[Profit Margin]]&lt;0.2,"Medium","High")</f>
        <v>High</v>
      </c>
    </row>
    <row r="49" spans="1:20" x14ac:dyDescent="0.35">
      <c r="A49">
        <v>48</v>
      </c>
      <c r="B49" s="1" t="s">
        <v>32</v>
      </c>
      <c r="C49" s="1" t="s">
        <v>23</v>
      </c>
      <c r="D49" s="1" t="s">
        <v>45</v>
      </c>
      <c r="E49" s="1" t="s">
        <v>21</v>
      </c>
      <c r="F49">
        <v>4219.5</v>
      </c>
      <c r="G49">
        <v>260</v>
      </c>
      <c r="H49">
        <v>125</v>
      </c>
      <c r="I49">
        <v>0</v>
      </c>
      <c r="J49">
        <v>506340</v>
      </c>
      <c r="K49" s="2">
        <v>41730</v>
      </c>
      <c r="L49">
        <v>4</v>
      </c>
      <c r="M49" s="1" t="s">
        <v>44</v>
      </c>
      <c r="N49" s="1" t="s">
        <v>87</v>
      </c>
      <c r="O49">
        <v>2014</v>
      </c>
      <c r="P49">
        <v>527437.5</v>
      </c>
      <c r="Q49">
        <v>527437.5</v>
      </c>
      <c r="R49">
        <v>21097.5</v>
      </c>
      <c r="S49" s="22">
        <v>0.04</v>
      </c>
      <c r="T49" t="str" cm="1">
        <f t="array" ref="T49">_xlfn.SWITCH(TRUE,data[[#This Row],[Profit Margin]]&lt;0,"Negative",data[[#This Row],[Profit Margin]]&lt;0.1,"Low",data[[#This Row],[Profit Margin]]&lt;0.2,"Medium","High")</f>
        <v>Low</v>
      </c>
    </row>
    <row r="50" spans="1:20" x14ac:dyDescent="0.35">
      <c r="A50">
        <v>49</v>
      </c>
      <c r="B50" s="1" t="s">
        <v>18</v>
      </c>
      <c r="C50" s="1" t="s">
        <v>25</v>
      </c>
      <c r="D50" s="1" t="s">
        <v>45</v>
      </c>
      <c r="E50" s="1" t="s">
        <v>21</v>
      </c>
      <c r="F50">
        <v>1899</v>
      </c>
      <c r="G50">
        <v>260</v>
      </c>
      <c r="H50">
        <v>20</v>
      </c>
      <c r="I50">
        <v>0</v>
      </c>
      <c r="J50">
        <v>18990</v>
      </c>
      <c r="K50" s="2">
        <v>41791</v>
      </c>
      <c r="L50">
        <v>6</v>
      </c>
      <c r="M50" s="1" t="s">
        <v>26</v>
      </c>
      <c r="N50" s="1" t="s">
        <v>78</v>
      </c>
      <c r="O50">
        <v>2014</v>
      </c>
      <c r="P50">
        <v>37980</v>
      </c>
      <c r="Q50">
        <v>37980</v>
      </c>
      <c r="R50">
        <v>18990</v>
      </c>
      <c r="S50" s="22">
        <v>0.5</v>
      </c>
      <c r="T50" t="str" cm="1">
        <f t="array" ref="T50">_xlfn.SWITCH(TRUE,data[[#This Row],[Profit Margin]]&lt;0,"Negative",data[[#This Row],[Profit Margin]]&lt;0.1,"Low",data[[#This Row],[Profit Margin]]&lt;0.2,"Medium","High")</f>
        <v>High</v>
      </c>
    </row>
    <row r="51" spans="1:20" x14ac:dyDescent="0.35">
      <c r="A51">
        <v>50</v>
      </c>
      <c r="B51" s="1" t="s">
        <v>18</v>
      </c>
      <c r="C51" s="1" t="s">
        <v>23</v>
      </c>
      <c r="D51" s="1" t="s">
        <v>45</v>
      </c>
      <c r="E51" s="1" t="s">
        <v>21</v>
      </c>
      <c r="F51">
        <v>1686</v>
      </c>
      <c r="G51">
        <v>260</v>
      </c>
      <c r="H51">
        <v>7</v>
      </c>
      <c r="I51">
        <v>0</v>
      </c>
      <c r="J51">
        <v>8430</v>
      </c>
      <c r="K51" s="2">
        <v>41821</v>
      </c>
      <c r="L51">
        <v>7</v>
      </c>
      <c r="M51" s="1" t="s">
        <v>33</v>
      </c>
      <c r="N51" s="1" t="s">
        <v>81</v>
      </c>
      <c r="O51">
        <v>2014</v>
      </c>
      <c r="P51">
        <v>11802</v>
      </c>
      <c r="Q51">
        <v>11802</v>
      </c>
      <c r="R51">
        <v>3372</v>
      </c>
      <c r="S51" s="22">
        <v>0.2857142857142857</v>
      </c>
      <c r="T51" t="str" cm="1">
        <f t="array" ref="T51">_xlfn.SWITCH(TRUE,data[[#This Row],[Profit Margin]]&lt;0,"Negative",data[[#This Row],[Profit Margin]]&lt;0.1,"Low",data[[#This Row],[Profit Margin]]&lt;0.2,"Medium","High")</f>
        <v>High</v>
      </c>
    </row>
    <row r="52" spans="1:20" x14ac:dyDescent="0.35">
      <c r="A52">
        <v>51</v>
      </c>
      <c r="B52" s="1" t="s">
        <v>31</v>
      </c>
      <c r="C52" s="1" t="s">
        <v>38</v>
      </c>
      <c r="D52" s="1" t="s">
        <v>45</v>
      </c>
      <c r="E52" s="1" t="s">
        <v>21</v>
      </c>
      <c r="F52">
        <v>2141</v>
      </c>
      <c r="G52">
        <v>260</v>
      </c>
      <c r="H52">
        <v>12</v>
      </c>
      <c r="I52">
        <v>0</v>
      </c>
      <c r="J52">
        <v>6423</v>
      </c>
      <c r="K52" s="2">
        <v>41852</v>
      </c>
      <c r="L52">
        <v>8</v>
      </c>
      <c r="M52" s="1" t="s">
        <v>35</v>
      </c>
      <c r="N52" s="1" t="s">
        <v>82</v>
      </c>
      <c r="O52">
        <v>2014</v>
      </c>
      <c r="P52">
        <v>25692</v>
      </c>
      <c r="Q52">
        <v>25692</v>
      </c>
      <c r="R52">
        <v>19269</v>
      </c>
      <c r="S52" s="22">
        <v>0.75</v>
      </c>
      <c r="T52" t="str" cm="1">
        <f t="array" ref="T52">_xlfn.SWITCH(TRUE,data[[#This Row],[Profit Margin]]&lt;0,"Negative",data[[#This Row],[Profit Margin]]&lt;0.1,"Low",data[[#This Row],[Profit Margin]]&lt;0.2,"Medium","High")</f>
        <v>High</v>
      </c>
    </row>
    <row r="53" spans="1:20" x14ac:dyDescent="0.35">
      <c r="A53">
        <v>52</v>
      </c>
      <c r="B53" s="1" t="s">
        <v>18</v>
      </c>
      <c r="C53" s="1" t="s">
        <v>38</v>
      </c>
      <c r="D53" s="1" t="s">
        <v>45</v>
      </c>
      <c r="E53" s="1" t="s">
        <v>21</v>
      </c>
      <c r="F53">
        <v>1143</v>
      </c>
      <c r="G53">
        <v>260</v>
      </c>
      <c r="H53">
        <v>7</v>
      </c>
      <c r="I53">
        <v>0</v>
      </c>
      <c r="J53">
        <v>5715</v>
      </c>
      <c r="K53" s="2">
        <v>41913</v>
      </c>
      <c r="L53">
        <v>10</v>
      </c>
      <c r="M53" s="1" t="s">
        <v>37</v>
      </c>
      <c r="N53" s="1" t="s">
        <v>84</v>
      </c>
      <c r="O53">
        <v>2014</v>
      </c>
      <c r="P53">
        <v>8001</v>
      </c>
      <c r="Q53">
        <v>8001</v>
      </c>
      <c r="R53">
        <v>2286</v>
      </c>
      <c r="S53" s="22">
        <v>0.2857142857142857</v>
      </c>
      <c r="T53" t="str" cm="1">
        <f t="array" ref="T53">_xlfn.SWITCH(TRUE,data[[#This Row],[Profit Margin]]&lt;0,"Negative",data[[#This Row],[Profit Margin]]&lt;0.1,"Low",data[[#This Row],[Profit Margin]]&lt;0.2,"Medium","High")</f>
        <v>High</v>
      </c>
    </row>
    <row r="54" spans="1:20" x14ac:dyDescent="0.35">
      <c r="A54">
        <v>53</v>
      </c>
      <c r="B54" s="1" t="s">
        <v>24</v>
      </c>
      <c r="C54" s="1" t="s">
        <v>38</v>
      </c>
      <c r="D54" s="1" t="s">
        <v>45</v>
      </c>
      <c r="E54" s="1" t="s">
        <v>21</v>
      </c>
      <c r="F54">
        <v>615</v>
      </c>
      <c r="G54">
        <v>260</v>
      </c>
      <c r="H54">
        <v>15</v>
      </c>
      <c r="I54">
        <v>0</v>
      </c>
      <c r="J54">
        <v>6150</v>
      </c>
      <c r="K54" s="2">
        <v>41974</v>
      </c>
      <c r="L54">
        <v>12</v>
      </c>
      <c r="M54" s="1" t="s">
        <v>28</v>
      </c>
      <c r="N54" s="1" t="s">
        <v>79</v>
      </c>
      <c r="O54">
        <v>2014</v>
      </c>
      <c r="P54">
        <v>9225</v>
      </c>
      <c r="Q54">
        <v>9225</v>
      </c>
      <c r="R54">
        <v>3075</v>
      </c>
      <c r="S54" s="22">
        <v>0.33333333333333331</v>
      </c>
      <c r="T54" t="str" cm="1">
        <f t="array" ref="T54">_xlfn.SWITCH(TRUE,data[[#This Row],[Profit Margin]]&lt;0,"Negative",data[[#This Row],[Profit Margin]]&lt;0.1,"Low",data[[#This Row],[Profit Margin]]&lt;0.2,"Medium","High")</f>
        <v>High</v>
      </c>
    </row>
    <row r="55" spans="1:20" x14ac:dyDescent="0.35">
      <c r="A55">
        <v>54</v>
      </c>
      <c r="B55" s="1" t="s">
        <v>18</v>
      </c>
      <c r="C55" s="1" t="s">
        <v>25</v>
      </c>
      <c r="D55" s="1" t="s">
        <v>39</v>
      </c>
      <c r="E55" s="1" t="s">
        <v>46</v>
      </c>
      <c r="F55">
        <v>3945</v>
      </c>
      <c r="G55">
        <v>10</v>
      </c>
      <c r="H55">
        <v>7</v>
      </c>
      <c r="I55">
        <v>276.14999999999998</v>
      </c>
      <c r="J55">
        <v>19725</v>
      </c>
      <c r="K55" s="2">
        <v>41640</v>
      </c>
      <c r="L55">
        <v>1</v>
      </c>
      <c r="M55" s="1" t="s">
        <v>22</v>
      </c>
      <c r="N55" s="1" t="s">
        <v>77</v>
      </c>
      <c r="O55">
        <v>2014</v>
      </c>
      <c r="P55">
        <v>27615</v>
      </c>
      <c r="Q55">
        <v>27338.85</v>
      </c>
      <c r="R55">
        <v>7613.8499999999985</v>
      </c>
      <c r="S55" s="22">
        <v>0.27849927849927847</v>
      </c>
      <c r="T55" t="str" cm="1">
        <f t="array" ref="T55">_xlfn.SWITCH(TRUE,data[[#This Row],[Profit Margin]]&lt;0,"Negative",data[[#This Row],[Profit Margin]]&lt;0.1,"Low",data[[#This Row],[Profit Margin]]&lt;0.2,"Medium","High")</f>
        <v>High</v>
      </c>
    </row>
    <row r="56" spans="1:20" x14ac:dyDescent="0.35">
      <c r="A56">
        <v>55</v>
      </c>
      <c r="B56" s="1" t="s">
        <v>24</v>
      </c>
      <c r="C56" s="1" t="s">
        <v>25</v>
      </c>
      <c r="D56" s="1" t="s">
        <v>39</v>
      </c>
      <c r="E56" s="1" t="s">
        <v>46</v>
      </c>
      <c r="F56">
        <v>2296</v>
      </c>
      <c r="G56">
        <v>10</v>
      </c>
      <c r="H56">
        <v>15</v>
      </c>
      <c r="I56">
        <v>344.4</v>
      </c>
      <c r="J56">
        <v>22960</v>
      </c>
      <c r="K56" s="2">
        <v>41671</v>
      </c>
      <c r="L56">
        <v>2</v>
      </c>
      <c r="M56" s="1" t="s">
        <v>40</v>
      </c>
      <c r="N56" s="1" t="s">
        <v>85</v>
      </c>
      <c r="O56">
        <v>2014</v>
      </c>
      <c r="P56">
        <v>34440</v>
      </c>
      <c r="Q56">
        <v>34095.599999999999</v>
      </c>
      <c r="R56">
        <v>11135.599999999999</v>
      </c>
      <c r="S56" s="22">
        <v>0.32659932659932656</v>
      </c>
      <c r="T56" t="str" cm="1">
        <f t="array" ref="T56">_xlfn.SWITCH(TRUE,data[[#This Row],[Profit Margin]]&lt;0,"Negative",data[[#This Row],[Profit Margin]]&lt;0.1,"Low",data[[#This Row],[Profit Margin]]&lt;0.2,"Medium","High")</f>
        <v>High</v>
      </c>
    </row>
    <row r="57" spans="1:20" x14ac:dyDescent="0.35">
      <c r="A57">
        <v>56</v>
      </c>
      <c r="B57" s="1" t="s">
        <v>18</v>
      </c>
      <c r="C57" s="1" t="s">
        <v>25</v>
      </c>
      <c r="D57" s="1" t="s">
        <v>39</v>
      </c>
      <c r="E57" s="1" t="s">
        <v>46</v>
      </c>
      <c r="F57">
        <v>1030</v>
      </c>
      <c r="G57">
        <v>10</v>
      </c>
      <c r="H57">
        <v>7</v>
      </c>
      <c r="I57">
        <v>72.099999999999994</v>
      </c>
      <c r="J57">
        <v>5150</v>
      </c>
      <c r="K57" s="2">
        <v>41760</v>
      </c>
      <c r="L57">
        <v>5</v>
      </c>
      <c r="M57" s="1" t="s">
        <v>47</v>
      </c>
      <c r="N57" s="1" t="s">
        <v>47</v>
      </c>
      <c r="O57">
        <v>2014</v>
      </c>
      <c r="P57">
        <v>7210</v>
      </c>
      <c r="Q57">
        <v>7137.9</v>
      </c>
      <c r="R57">
        <v>1987.8999999999996</v>
      </c>
      <c r="S57" s="22">
        <v>0.27849927849927847</v>
      </c>
      <c r="T57" t="str" cm="1">
        <f t="array" ref="T57">_xlfn.SWITCH(TRUE,data[[#This Row],[Profit Margin]]&lt;0,"Negative",data[[#This Row],[Profit Margin]]&lt;0.1,"Low",data[[#This Row],[Profit Margin]]&lt;0.2,"Medium","High")</f>
        <v>High</v>
      </c>
    </row>
    <row r="58" spans="1:20" x14ac:dyDescent="0.35">
      <c r="A58">
        <v>57</v>
      </c>
      <c r="B58" s="1" t="s">
        <v>18</v>
      </c>
      <c r="C58" s="1" t="s">
        <v>25</v>
      </c>
      <c r="D58" s="1" t="s">
        <v>42</v>
      </c>
      <c r="E58" s="1" t="s">
        <v>46</v>
      </c>
      <c r="F58">
        <v>639</v>
      </c>
      <c r="G58">
        <v>120</v>
      </c>
      <c r="H58">
        <v>7</v>
      </c>
      <c r="I58">
        <v>44.73</v>
      </c>
      <c r="J58">
        <v>3195</v>
      </c>
      <c r="K58" s="2">
        <v>41944</v>
      </c>
      <c r="L58">
        <v>11</v>
      </c>
      <c r="M58" s="1" t="s">
        <v>41</v>
      </c>
      <c r="N58" s="1" t="s">
        <v>86</v>
      </c>
      <c r="O58">
        <v>2014</v>
      </c>
      <c r="P58">
        <v>4473</v>
      </c>
      <c r="Q58">
        <v>4428.2700000000004</v>
      </c>
      <c r="R58">
        <v>1233.2700000000004</v>
      </c>
      <c r="S58" s="22">
        <v>0.27849927849927858</v>
      </c>
      <c r="T58" t="str" cm="1">
        <f t="array" ref="T58">_xlfn.SWITCH(TRUE,data[[#This Row],[Profit Margin]]&lt;0,"Negative",data[[#This Row],[Profit Margin]]&lt;0.1,"Low",data[[#This Row],[Profit Margin]]&lt;0.2,"Medium","High")</f>
        <v>High</v>
      </c>
    </row>
    <row r="59" spans="1:20" x14ac:dyDescent="0.35">
      <c r="A59">
        <v>58</v>
      </c>
      <c r="B59" s="1" t="s">
        <v>18</v>
      </c>
      <c r="C59" s="1" t="s">
        <v>19</v>
      </c>
      <c r="D59" s="1" t="s">
        <v>43</v>
      </c>
      <c r="E59" s="1" t="s">
        <v>46</v>
      </c>
      <c r="F59">
        <v>1326</v>
      </c>
      <c r="G59">
        <v>250</v>
      </c>
      <c r="H59">
        <v>7</v>
      </c>
      <c r="I59">
        <v>92.82</v>
      </c>
      <c r="J59">
        <v>6630</v>
      </c>
      <c r="K59" s="2">
        <v>41699</v>
      </c>
      <c r="L59">
        <v>3</v>
      </c>
      <c r="M59" s="1" t="s">
        <v>30</v>
      </c>
      <c r="N59" s="1" t="s">
        <v>80</v>
      </c>
      <c r="O59">
        <v>2014</v>
      </c>
      <c r="P59">
        <v>9282</v>
      </c>
      <c r="Q59">
        <v>9189.18</v>
      </c>
      <c r="R59">
        <v>2559.1800000000003</v>
      </c>
      <c r="S59" s="22">
        <v>0.27849927849927852</v>
      </c>
      <c r="T59" t="str" cm="1">
        <f t="array" ref="T59">_xlfn.SWITCH(TRUE,data[[#This Row],[Profit Margin]]&lt;0,"Negative",data[[#This Row],[Profit Margin]]&lt;0.1,"Low",data[[#This Row],[Profit Margin]]&lt;0.2,"Medium","High")</f>
        <v>High</v>
      </c>
    </row>
    <row r="60" spans="1:20" x14ac:dyDescent="0.35">
      <c r="A60">
        <v>59</v>
      </c>
      <c r="B60" s="1" t="s">
        <v>31</v>
      </c>
      <c r="C60" s="1" t="s">
        <v>38</v>
      </c>
      <c r="D60" s="1" t="s">
        <v>20</v>
      </c>
      <c r="E60" s="1" t="s">
        <v>46</v>
      </c>
      <c r="F60">
        <v>1858</v>
      </c>
      <c r="G60">
        <v>3</v>
      </c>
      <c r="H60">
        <v>12</v>
      </c>
      <c r="I60">
        <v>222.96</v>
      </c>
      <c r="J60">
        <v>5574</v>
      </c>
      <c r="K60" s="2">
        <v>41671</v>
      </c>
      <c r="L60">
        <v>2</v>
      </c>
      <c r="M60" s="1" t="s">
        <v>40</v>
      </c>
      <c r="N60" s="1" t="s">
        <v>85</v>
      </c>
      <c r="O60">
        <v>2014</v>
      </c>
      <c r="P60">
        <v>22296</v>
      </c>
      <c r="Q60">
        <v>22073.040000000001</v>
      </c>
      <c r="R60">
        <v>16499.04</v>
      </c>
      <c r="S60" s="22">
        <v>0.74747474747474751</v>
      </c>
      <c r="T60" t="str" cm="1">
        <f t="array" ref="T60">_xlfn.SWITCH(TRUE,data[[#This Row],[Profit Margin]]&lt;0,"Negative",data[[#This Row],[Profit Margin]]&lt;0.1,"Low",data[[#This Row],[Profit Margin]]&lt;0.2,"Medium","High")</f>
        <v>High</v>
      </c>
    </row>
    <row r="61" spans="1:20" x14ac:dyDescent="0.35">
      <c r="A61">
        <v>60</v>
      </c>
      <c r="B61" s="1" t="s">
        <v>18</v>
      </c>
      <c r="C61" s="1" t="s">
        <v>27</v>
      </c>
      <c r="D61" s="1" t="s">
        <v>20</v>
      </c>
      <c r="E61" s="1" t="s">
        <v>46</v>
      </c>
      <c r="F61">
        <v>1210</v>
      </c>
      <c r="G61">
        <v>3</v>
      </c>
      <c r="H61">
        <v>350</v>
      </c>
      <c r="I61">
        <v>4235</v>
      </c>
      <c r="J61">
        <v>314600</v>
      </c>
      <c r="K61" s="2">
        <v>41699</v>
      </c>
      <c r="L61">
        <v>3</v>
      </c>
      <c r="M61" s="1" t="s">
        <v>30</v>
      </c>
      <c r="N61" s="1" t="s">
        <v>80</v>
      </c>
      <c r="O61">
        <v>2014</v>
      </c>
      <c r="P61">
        <v>423500</v>
      </c>
      <c r="Q61">
        <v>419265</v>
      </c>
      <c r="R61">
        <v>104665</v>
      </c>
      <c r="S61" s="22">
        <v>0.24963924963924963</v>
      </c>
      <c r="T61" t="str" cm="1">
        <f t="array" ref="T61">_xlfn.SWITCH(TRUE,data[[#This Row],[Profit Margin]]&lt;0,"Negative",data[[#This Row],[Profit Margin]]&lt;0.1,"Low",data[[#This Row],[Profit Margin]]&lt;0.2,"Medium","High")</f>
        <v>High</v>
      </c>
    </row>
    <row r="62" spans="1:20" x14ac:dyDescent="0.35">
      <c r="A62">
        <v>61</v>
      </c>
      <c r="B62" s="1" t="s">
        <v>18</v>
      </c>
      <c r="C62" s="1" t="s">
        <v>38</v>
      </c>
      <c r="D62" s="1" t="s">
        <v>20</v>
      </c>
      <c r="E62" s="1" t="s">
        <v>46</v>
      </c>
      <c r="F62">
        <v>2529</v>
      </c>
      <c r="G62">
        <v>3</v>
      </c>
      <c r="H62">
        <v>7</v>
      </c>
      <c r="I62">
        <v>177.03</v>
      </c>
      <c r="J62">
        <v>12645</v>
      </c>
      <c r="K62" s="2">
        <v>41821</v>
      </c>
      <c r="L62">
        <v>7</v>
      </c>
      <c r="M62" s="1" t="s">
        <v>33</v>
      </c>
      <c r="N62" s="1" t="s">
        <v>81</v>
      </c>
      <c r="O62">
        <v>2014</v>
      </c>
      <c r="P62">
        <v>17703</v>
      </c>
      <c r="Q62">
        <v>17525.97</v>
      </c>
      <c r="R62">
        <v>4880.9700000000012</v>
      </c>
      <c r="S62" s="22">
        <v>0.27849927849927852</v>
      </c>
      <c r="T62" t="str" cm="1">
        <f t="array" ref="T62">_xlfn.SWITCH(TRUE,data[[#This Row],[Profit Margin]]&lt;0,"Negative",data[[#This Row],[Profit Margin]]&lt;0.1,"Low",data[[#This Row],[Profit Margin]]&lt;0.2,"Medium","High")</f>
        <v>High</v>
      </c>
    </row>
    <row r="63" spans="1:20" x14ac:dyDescent="0.35">
      <c r="A63">
        <v>62</v>
      </c>
      <c r="B63" s="1" t="s">
        <v>31</v>
      </c>
      <c r="C63" s="1" t="s">
        <v>19</v>
      </c>
      <c r="D63" s="1" t="s">
        <v>20</v>
      </c>
      <c r="E63" s="1" t="s">
        <v>46</v>
      </c>
      <c r="F63">
        <v>1445</v>
      </c>
      <c r="G63">
        <v>3</v>
      </c>
      <c r="H63">
        <v>12</v>
      </c>
      <c r="I63">
        <v>173.4</v>
      </c>
      <c r="J63">
        <v>4335</v>
      </c>
      <c r="K63" s="2">
        <v>41883</v>
      </c>
      <c r="L63">
        <v>9</v>
      </c>
      <c r="M63" s="1" t="s">
        <v>36</v>
      </c>
      <c r="N63" s="1" t="s">
        <v>83</v>
      </c>
      <c r="O63">
        <v>2014</v>
      </c>
      <c r="P63">
        <v>17340</v>
      </c>
      <c r="Q63">
        <v>17166.599999999999</v>
      </c>
      <c r="R63">
        <v>12831.599999999999</v>
      </c>
      <c r="S63" s="22">
        <v>0.7474747474747474</v>
      </c>
      <c r="T63" t="str" cm="1">
        <f t="array" ref="T63">_xlfn.SWITCH(TRUE,data[[#This Row],[Profit Margin]]&lt;0,"Negative",data[[#This Row],[Profit Margin]]&lt;0.1,"Low",data[[#This Row],[Profit Margin]]&lt;0.2,"Medium","High")</f>
        <v>High</v>
      </c>
    </row>
    <row r="64" spans="1:20" x14ac:dyDescent="0.35">
      <c r="A64">
        <v>63</v>
      </c>
      <c r="B64" s="1" t="s">
        <v>32</v>
      </c>
      <c r="C64" s="1" t="s">
        <v>38</v>
      </c>
      <c r="D64" s="1" t="s">
        <v>20</v>
      </c>
      <c r="E64" s="1" t="s">
        <v>46</v>
      </c>
      <c r="F64">
        <v>330</v>
      </c>
      <c r="G64">
        <v>3</v>
      </c>
      <c r="H64">
        <v>125</v>
      </c>
      <c r="I64">
        <v>412.5</v>
      </c>
      <c r="J64">
        <v>39600</v>
      </c>
      <c r="K64" s="2">
        <v>41518</v>
      </c>
      <c r="L64">
        <v>9</v>
      </c>
      <c r="M64" s="1" t="s">
        <v>36</v>
      </c>
      <c r="N64" s="1" t="s">
        <v>83</v>
      </c>
      <c r="O64">
        <v>2013</v>
      </c>
      <c r="P64">
        <v>41250</v>
      </c>
      <c r="Q64">
        <v>40837.5</v>
      </c>
      <c r="R64">
        <v>1237.5</v>
      </c>
      <c r="S64" s="22">
        <v>3.0303030303030304E-2</v>
      </c>
      <c r="T64" t="str" cm="1">
        <f t="array" ref="T64">_xlfn.SWITCH(TRUE,data[[#This Row],[Profit Margin]]&lt;0,"Negative",data[[#This Row],[Profit Margin]]&lt;0.1,"Low",data[[#This Row],[Profit Margin]]&lt;0.2,"Medium","High")</f>
        <v>Low</v>
      </c>
    </row>
    <row r="65" spans="1:20" x14ac:dyDescent="0.35">
      <c r="A65">
        <v>64</v>
      </c>
      <c r="B65" s="1" t="s">
        <v>31</v>
      </c>
      <c r="C65" s="1" t="s">
        <v>25</v>
      </c>
      <c r="D65" s="1" t="s">
        <v>20</v>
      </c>
      <c r="E65" s="1" t="s">
        <v>46</v>
      </c>
      <c r="F65">
        <v>2671</v>
      </c>
      <c r="G65">
        <v>3</v>
      </c>
      <c r="H65">
        <v>12</v>
      </c>
      <c r="I65">
        <v>320.52</v>
      </c>
      <c r="J65">
        <v>8013</v>
      </c>
      <c r="K65" s="2">
        <v>41883</v>
      </c>
      <c r="L65">
        <v>9</v>
      </c>
      <c r="M65" s="1" t="s">
        <v>36</v>
      </c>
      <c r="N65" s="1" t="s">
        <v>83</v>
      </c>
      <c r="O65">
        <v>2014</v>
      </c>
      <c r="P65">
        <v>32052</v>
      </c>
      <c r="Q65">
        <v>31731.48</v>
      </c>
      <c r="R65">
        <v>23718.48</v>
      </c>
      <c r="S65" s="22">
        <v>0.74747474747474751</v>
      </c>
      <c r="T65" t="str" cm="1">
        <f t="array" ref="T65">_xlfn.SWITCH(TRUE,data[[#This Row],[Profit Margin]]&lt;0,"Negative",data[[#This Row],[Profit Margin]]&lt;0.1,"Low",data[[#This Row],[Profit Margin]]&lt;0.2,"Medium","High")</f>
        <v>High</v>
      </c>
    </row>
    <row r="66" spans="1:20" x14ac:dyDescent="0.35">
      <c r="A66">
        <v>65</v>
      </c>
      <c r="B66" s="1" t="s">
        <v>31</v>
      </c>
      <c r="C66" s="1" t="s">
        <v>23</v>
      </c>
      <c r="D66" s="1" t="s">
        <v>20</v>
      </c>
      <c r="E66" s="1" t="s">
        <v>46</v>
      </c>
      <c r="F66">
        <v>766</v>
      </c>
      <c r="G66">
        <v>3</v>
      </c>
      <c r="H66">
        <v>12</v>
      </c>
      <c r="I66">
        <v>91.92</v>
      </c>
      <c r="J66">
        <v>2298</v>
      </c>
      <c r="K66" s="2">
        <v>41548</v>
      </c>
      <c r="L66">
        <v>10</v>
      </c>
      <c r="M66" s="1" t="s">
        <v>37</v>
      </c>
      <c r="N66" s="1" t="s">
        <v>84</v>
      </c>
      <c r="O66">
        <v>2013</v>
      </c>
      <c r="P66">
        <v>9192</v>
      </c>
      <c r="Q66">
        <v>9100.08</v>
      </c>
      <c r="R66">
        <v>6802.08</v>
      </c>
      <c r="S66" s="22">
        <v>0.74747474747474751</v>
      </c>
      <c r="T66" t="str" cm="1">
        <f t="array" ref="T66">_xlfn.SWITCH(TRUE,data[[#This Row],[Profit Margin]]&lt;0,"Negative",data[[#This Row],[Profit Margin]]&lt;0.1,"Low",data[[#This Row],[Profit Margin]]&lt;0.2,"Medium","High")</f>
        <v>High</v>
      </c>
    </row>
    <row r="67" spans="1:20" x14ac:dyDescent="0.35">
      <c r="A67">
        <v>66</v>
      </c>
      <c r="B67" s="1" t="s">
        <v>34</v>
      </c>
      <c r="C67" s="1" t="s">
        <v>27</v>
      </c>
      <c r="D67" s="1" t="s">
        <v>20</v>
      </c>
      <c r="E67" s="1" t="s">
        <v>46</v>
      </c>
      <c r="F67">
        <v>494</v>
      </c>
      <c r="G67">
        <v>3</v>
      </c>
      <c r="H67">
        <v>300</v>
      </c>
      <c r="I67">
        <v>1482</v>
      </c>
      <c r="J67">
        <v>123500</v>
      </c>
      <c r="K67" s="2">
        <v>41548</v>
      </c>
      <c r="L67">
        <v>10</v>
      </c>
      <c r="M67" s="1" t="s">
        <v>37</v>
      </c>
      <c r="N67" s="1" t="s">
        <v>84</v>
      </c>
      <c r="O67">
        <v>2013</v>
      </c>
      <c r="P67">
        <v>148200</v>
      </c>
      <c r="Q67">
        <v>146718</v>
      </c>
      <c r="R67">
        <v>23218</v>
      </c>
      <c r="S67" s="22">
        <v>0.15824915824915825</v>
      </c>
      <c r="T67" t="str" cm="1">
        <f t="array" ref="T67">_xlfn.SWITCH(TRUE,data[[#This Row],[Profit Margin]]&lt;0,"Negative",data[[#This Row],[Profit Margin]]&lt;0.1,"Low",data[[#This Row],[Profit Margin]]&lt;0.2,"Medium","High")</f>
        <v>Medium</v>
      </c>
    </row>
    <row r="68" spans="1:20" x14ac:dyDescent="0.35">
      <c r="A68">
        <v>67</v>
      </c>
      <c r="B68" s="1" t="s">
        <v>18</v>
      </c>
      <c r="C68" s="1" t="s">
        <v>27</v>
      </c>
      <c r="D68" s="1" t="s">
        <v>20</v>
      </c>
      <c r="E68" s="1" t="s">
        <v>46</v>
      </c>
      <c r="F68">
        <v>1397</v>
      </c>
      <c r="G68">
        <v>3</v>
      </c>
      <c r="H68">
        <v>350</v>
      </c>
      <c r="I68">
        <v>4889.5</v>
      </c>
      <c r="J68">
        <v>363220</v>
      </c>
      <c r="K68" s="2">
        <v>41913</v>
      </c>
      <c r="L68">
        <v>10</v>
      </c>
      <c r="M68" s="1" t="s">
        <v>37</v>
      </c>
      <c r="N68" s="1" t="s">
        <v>84</v>
      </c>
      <c r="O68">
        <v>2014</v>
      </c>
      <c r="P68">
        <v>488950</v>
      </c>
      <c r="Q68">
        <v>484060.5</v>
      </c>
      <c r="R68">
        <v>120840.5</v>
      </c>
      <c r="S68" s="22">
        <v>0.24963924963924963</v>
      </c>
      <c r="T68" t="str" cm="1">
        <f t="array" ref="T68">_xlfn.SWITCH(TRUE,data[[#This Row],[Profit Margin]]&lt;0,"Negative",data[[#This Row],[Profit Margin]]&lt;0.1,"Low",data[[#This Row],[Profit Margin]]&lt;0.2,"Medium","High")</f>
        <v>High</v>
      </c>
    </row>
    <row r="69" spans="1:20" x14ac:dyDescent="0.35">
      <c r="A69">
        <v>68</v>
      </c>
      <c r="B69" s="1" t="s">
        <v>18</v>
      </c>
      <c r="C69" s="1" t="s">
        <v>25</v>
      </c>
      <c r="D69" s="1" t="s">
        <v>20</v>
      </c>
      <c r="E69" s="1" t="s">
        <v>46</v>
      </c>
      <c r="F69">
        <v>2155</v>
      </c>
      <c r="G69">
        <v>3</v>
      </c>
      <c r="H69">
        <v>350</v>
      </c>
      <c r="I69">
        <v>7542.5</v>
      </c>
      <c r="J69">
        <v>560300</v>
      </c>
      <c r="K69" s="2">
        <v>41974</v>
      </c>
      <c r="L69">
        <v>12</v>
      </c>
      <c r="M69" s="1" t="s">
        <v>28</v>
      </c>
      <c r="N69" s="1" t="s">
        <v>79</v>
      </c>
      <c r="O69">
        <v>2014</v>
      </c>
      <c r="P69">
        <v>754250</v>
      </c>
      <c r="Q69">
        <v>746707.5</v>
      </c>
      <c r="R69">
        <v>186407.5</v>
      </c>
      <c r="S69" s="22">
        <v>0.24963924963924963</v>
      </c>
      <c r="T69" t="str" cm="1">
        <f t="array" ref="T69">_xlfn.SWITCH(TRUE,data[[#This Row],[Profit Margin]]&lt;0,"Negative",data[[#This Row],[Profit Margin]]&lt;0.1,"Low",data[[#This Row],[Profit Margin]]&lt;0.2,"Medium","High")</f>
        <v>High</v>
      </c>
    </row>
    <row r="70" spans="1:20" x14ac:dyDescent="0.35">
      <c r="A70">
        <v>69</v>
      </c>
      <c r="B70" s="1" t="s">
        <v>24</v>
      </c>
      <c r="C70" s="1" t="s">
        <v>27</v>
      </c>
      <c r="D70" s="1" t="s">
        <v>29</v>
      </c>
      <c r="E70" s="1" t="s">
        <v>46</v>
      </c>
      <c r="F70">
        <v>2214</v>
      </c>
      <c r="G70">
        <v>5</v>
      </c>
      <c r="H70">
        <v>15</v>
      </c>
      <c r="I70">
        <v>332.1</v>
      </c>
      <c r="J70">
        <v>22140</v>
      </c>
      <c r="K70" s="2">
        <v>41699</v>
      </c>
      <c r="L70">
        <v>3</v>
      </c>
      <c r="M70" s="1" t="s">
        <v>30</v>
      </c>
      <c r="N70" s="1" t="s">
        <v>80</v>
      </c>
      <c r="O70">
        <v>2014</v>
      </c>
      <c r="P70">
        <v>33210</v>
      </c>
      <c r="Q70">
        <v>32877.9</v>
      </c>
      <c r="R70">
        <v>10737.900000000001</v>
      </c>
      <c r="S70" s="22">
        <v>0.32659932659932661</v>
      </c>
      <c r="T70" t="str" cm="1">
        <f t="array" ref="T70">_xlfn.SWITCH(TRUE,data[[#This Row],[Profit Margin]]&lt;0,"Negative",data[[#This Row],[Profit Margin]]&lt;0.1,"Low",data[[#This Row],[Profit Margin]]&lt;0.2,"Medium","High")</f>
        <v>High</v>
      </c>
    </row>
    <row r="71" spans="1:20" x14ac:dyDescent="0.35">
      <c r="A71">
        <v>70</v>
      </c>
      <c r="B71" s="1" t="s">
        <v>34</v>
      </c>
      <c r="C71" s="1" t="s">
        <v>38</v>
      </c>
      <c r="D71" s="1" t="s">
        <v>29</v>
      </c>
      <c r="E71" s="1" t="s">
        <v>46</v>
      </c>
      <c r="F71">
        <v>2301</v>
      </c>
      <c r="G71">
        <v>5</v>
      </c>
      <c r="H71">
        <v>300</v>
      </c>
      <c r="I71">
        <v>6903</v>
      </c>
      <c r="J71">
        <v>575250</v>
      </c>
      <c r="K71" s="2">
        <v>41730</v>
      </c>
      <c r="L71">
        <v>4</v>
      </c>
      <c r="M71" s="1" t="s">
        <v>44</v>
      </c>
      <c r="N71" s="1" t="s">
        <v>87</v>
      </c>
      <c r="O71">
        <v>2014</v>
      </c>
      <c r="P71">
        <v>690300</v>
      </c>
      <c r="Q71">
        <v>683397</v>
      </c>
      <c r="R71">
        <v>108147</v>
      </c>
      <c r="S71" s="22">
        <v>0.15824915824915825</v>
      </c>
      <c r="T71" t="str" cm="1">
        <f t="array" ref="T71">_xlfn.SWITCH(TRUE,data[[#This Row],[Profit Margin]]&lt;0,"Negative",data[[#This Row],[Profit Margin]]&lt;0.1,"Low",data[[#This Row],[Profit Margin]]&lt;0.2,"Medium","High")</f>
        <v>Medium</v>
      </c>
    </row>
    <row r="72" spans="1:20" x14ac:dyDescent="0.35">
      <c r="A72">
        <v>71</v>
      </c>
      <c r="B72" s="1" t="s">
        <v>18</v>
      </c>
      <c r="C72" s="1" t="s">
        <v>25</v>
      </c>
      <c r="D72" s="1" t="s">
        <v>29</v>
      </c>
      <c r="E72" s="1" t="s">
        <v>46</v>
      </c>
      <c r="F72">
        <v>1375.5</v>
      </c>
      <c r="G72">
        <v>5</v>
      </c>
      <c r="H72">
        <v>20</v>
      </c>
      <c r="I72">
        <v>275.10000000000002</v>
      </c>
      <c r="J72">
        <v>13755</v>
      </c>
      <c r="K72" s="2">
        <v>41821</v>
      </c>
      <c r="L72">
        <v>7</v>
      </c>
      <c r="M72" s="1" t="s">
        <v>33</v>
      </c>
      <c r="N72" s="1" t="s">
        <v>81</v>
      </c>
      <c r="O72">
        <v>2014</v>
      </c>
      <c r="P72">
        <v>27510</v>
      </c>
      <c r="Q72">
        <v>27234.9</v>
      </c>
      <c r="R72">
        <v>13479.900000000001</v>
      </c>
      <c r="S72" s="22">
        <v>0.49494949494949497</v>
      </c>
      <c r="T72" t="str" cm="1">
        <f t="array" ref="T72">_xlfn.SWITCH(TRUE,data[[#This Row],[Profit Margin]]&lt;0,"Negative",data[[#This Row],[Profit Margin]]&lt;0.1,"Low",data[[#This Row],[Profit Margin]]&lt;0.2,"Medium","High")</f>
        <v>High</v>
      </c>
    </row>
    <row r="73" spans="1:20" x14ac:dyDescent="0.35">
      <c r="A73">
        <v>72</v>
      </c>
      <c r="B73" s="1" t="s">
        <v>18</v>
      </c>
      <c r="C73" s="1" t="s">
        <v>19</v>
      </c>
      <c r="D73" s="1" t="s">
        <v>29</v>
      </c>
      <c r="E73" s="1" t="s">
        <v>46</v>
      </c>
      <c r="F73">
        <v>1830</v>
      </c>
      <c r="G73">
        <v>5</v>
      </c>
      <c r="H73">
        <v>7</v>
      </c>
      <c r="I73">
        <v>128.1</v>
      </c>
      <c r="J73">
        <v>9150</v>
      </c>
      <c r="K73" s="2">
        <v>41852</v>
      </c>
      <c r="L73">
        <v>8</v>
      </c>
      <c r="M73" s="1" t="s">
        <v>35</v>
      </c>
      <c r="N73" s="1" t="s">
        <v>82</v>
      </c>
      <c r="O73">
        <v>2014</v>
      </c>
      <c r="P73">
        <v>12810</v>
      </c>
      <c r="Q73">
        <v>12681.9</v>
      </c>
      <c r="R73">
        <v>3531.8999999999996</v>
      </c>
      <c r="S73" s="22">
        <v>0.27849927849927847</v>
      </c>
      <c r="T73" t="str" cm="1">
        <f t="array" ref="T73">_xlfn.SWITCH(TRUE,data[[#This Row],[Profit Margin]]&lt;0,"Negative",data[[#This Row],[Profit Margin]]&lt;0.1,"Low",data[[#This Row],[Profit Margin]]&lt;0.2,"Medium","High")</f>
        <v>High</v>
      </c>
    </row>
    <row r="74" spans="1:20" x14ac:dyDescent="0.35">
      <c r="A74">
        <v>73</v>
      </c>
      <c r="B74" s="1" t="s">
        <v>34</v>
      </c>
      <c r="C74" s="1" t="s">
        <v>38</v>
      </c>
      <c r="D74" s="1" t="s">
        <v>29</v>
      </c>
      <c r="E74" s="1" t="s">
        <v>46</v>
      </c>
      <c r="F74">
        <v>2498</v>
      </c>
      <c r="G74">
        <v>5</v>
      </c>
      <c r="H74">
        <v>300</v>
      </c>
      <c r="I74">
        <v>7494</v>
      </c>
      <c r="J74">
        <v>624500</v>
      </c>
      <c r="K74" s="2">
        <v>41518</v>
      </c>
      <c r="L74">
        <v>9</v>
      </c>
      <c r="M74" s="1" t="s">
        <v>36</v>
      </c>
      <c r="N74" s="1" t="s">
        <v>83</v>
      </c>
      <c r="O74">
        <v>2013</v>
      </c>
      <c r="P74">
        <v>749400</v>
      </c>
      <c r="Q74">
        <v>741906</v>
      </c>
      <c r="R74">
        <v>117406</v>
      </c>
      <c r="S74" s="22">
        <v>0.15824915824915825</v>
      </c>
      <c r="T74" t="str" cm="1">
        <f t="array" ref="T74">_xlfn.SWITCH(TRUE,data[[#This Row],[Profit Margin]]&lt;0,"Negative",data[[#This Row],[Profit Margin]]&lt;0.1,"Low",data[[#This Row],[Profit Margin]]&lt;0.2,"Medium","High")</f>
        <v>Medium</v>
      </c>
    </row>
    <row r="75" spans="1:20" x14ac:dyDescent="0.35">
      <c r="A75">
        <v>74</v>
      </c>
      <c r="B75" s="1" t="s">
        <v>32</v>
      </c>
      <c r="C75" s="1" t="s">
        <v>38</v>
      </c>
      <c r="D75" s="1" t="s">
        <v>29</v>
      </c>
      <c r="E75" s="1" t="s">
        <v>46</v>
      </c>
      <c r="F75">
        <v>663</v>
      </c>
      <c r="G75">
        <v>5</v>
      </c>
      <c r="H75">
        <v>125</v>
      </c>
      <c r="I75">
        <v>828.75</v>
      </c>
      <c r="J75">
        <v>79560</v>
      </c>
      <c r="K75" s="2">
        <v>41548</v>
      </c>
      <c r="L75">
        <v>10</v>
      </c>
      <c r="M75" s="1" t="s">
        <v>37</v>
      </c>
      <c r="N75" s="1" t="s">
        <v>84</v>
      </c>
      <c r="O75">
        <v>2013</v>
      </c>
      <c r="P75">
        <v>82875</v>
      </c>
      <c r="Q75">
        <v>82046.25</v>
      </c>
      <c r="R75">
        <v>2486.25</v>
      </c>
      <c r="S75" s="22">
        <v>3.0303030303030304E-2</v>
      </c>
      <c r="T75" t="str" cm="1">
        <f t="array" ref="T75">_xlfn.SWITCH(TRUE,data[[#This Row],[Profit Margin]]&lt;0,"Negative",data[[#This Row],[Profit Margin]]&lt;0.1,"Low",data[[#This Row],[Profit Margin]]&lt;0.2,"Medium","High")</f>
        <v>Low</v>
      </c>
    </row>
    <row r="76" spans="1:20" x14ac:dyDescent="0.35">
      <c r="A76">
        <v>75</v>
      </c>
      <c r="B76" s="1" t="s">
        <v>24</v>
      </c>
      <c r="C76" s="1" t="s">
        <v>38</v>
      </c>
      <c r="D76" s="1" t="s">
        <v>39</v>
      </c>
      <c r="E76" s="1" t="s">
        <v>46</v>
      </c>
      <c r="F76">
        <v>1514</v>
      </c>
      <c r="G76">
        <v>10</v>
      </c>
      <c r="H76">
        <v>15</v>
      </c>
      <c r="I76">
        <v>227.1</v>
      </c>
      <c r="J76">
        <v>15140</v>
      </c>
      <c r="K76" s="2">
        <v>41671</v>
      </c>
      <c r="L76">
        <v>2</v>
      </c>
      <c r="M76" s="1" t="s">
        <v>40</v>
      </c>
      <c r="N76" s="1" t="s">
        <v>85</v>
      </c>
      <c r="O76">
        <v>2014</v>
      </c>
      <c r="P76">
        <v>22710</v>
      </c>
      <c r="Q76">
        <v>22482.9</v>
      </c>
      <c r="R76">
        <v>7342.9000000000015</v>
      </c>
      <c r="S76" s="22">
        <v>0.32659932659932667</v>
      </c>
      <c r="T76" t="str" cm="1">
        <f t="array" ref="T76">_xlfn.SWITCH(TRUE,data[[#This Row],[Profit Margin]]&lt;0,"Negative",data[[#This Row],[Profit Margin]]&lt;0.1,"Low",data[[#This Row],[Profit Margin]]&lt;0.2,"Medium","High")</f>
        <v>High</v>
      </c>
    </row>
    <row r="77" spans="1:20" x14ac:dyDescent="0.35">
      <c r="A77">
        <v>76</v>
      </c>
      <c r="B77" s="1" t="s">
        <v>18</v>
      </c>
      <c r="C77" s="1" t="s">
        <v>38</v>
      </c>
      <c r="D77" s="1" t="s">
        <v>39</v>
      </c>
      <c r="E77" s="1" t="s">
        <v>46</v>
      </c>
      <c r="F77">
        <v>4492.5</v>
      </c>
      <c r="G77">
        <v>10</v>
      </c>
      <c r="H77">
        <v>7</v>
      </c>
      <c r="I77">
        <v>314.47500000000002</v>
      </c>
      <c r="J77">
        <v>22462.5</v>
      </c>
      <c r="K77" s="2">
        <v>41730</v>
      </c>
      <c r="L77">
        <v>4</v>
      </c>
      <c r="M77" s="1" t="s">
        <v>44</v>
      </c>
      <c r="N77" s="1" t="s">
        <v>87</v>
      </c>
      <c r="O77">
        <v>2014</v>
      </c>
      <c r="P77">
        <v>31447.5</v>
      </c>
      <c r="Q77">
        <v>31133.025000000001</v>
      </c>
      <c r="R77">
        <v>8670.5250000000015</v>
      </c>
      <c r="S77" s="22">
        <v>0.27849927849927852</v>
      </c>
      <c r="T77" t="str" cm="1">
        <f t="array" ref="T77">_xlfn.SWITCH(TRUE,data[[#This Row],[Profit Margin]]&lt;0,"Negative",data[[#This Row],[Profit Margin]]&lt;0.1,"Low",data[[#This Row],[Profit Margin]]&lt;0.2,"Medium","High")</f>
        <v>High</v>
      </c>
    </row>
    <row r="78" spans="1:20" x14ac:dyDescent="0.35">
      <c r="A78">
        <v>77</v>
      </c>
      <c r="B78" s="1" t="s">
        <v>32</v>
      </c>
      <c r="C78" s="1" t="s">
        <v>38</v>
      </c>
      <c r="D78" s="1" t="s">
        <v>39</v>
      </c>
      <c r="E78" s="1" t="s">
        <v>46</v>
      </c>
      <c r="F78">
        <v>727</v>
      </c>
      <c r="G78">
        <v>10</v>
      </c>
      <c r="H78">
        <v>125</v>
      </c>
      <c r="I78">
        <v>908.75</v>
      </c>
      <c r="J78">
        <v>87240</v>
      </c>
      <c r="K78" s="2">
        <v>41791</v>
      </c>
      <c r="L78">
        <v>6</v>
      </c>
      <c r="M78" s="1" t="s">
        <v>26</v>
      </c>
      <c r="N78" s="1" t="s">
        <v>78</v>
      </c>
      <c r="O78">
        <v>2014</v>
      </c>
      <c r="P78">
        <v>90875</v>
      </c>
      <c r="Q78">
        <v>89966.25</v>
      </c>
      <c r="R78">
        <v>2726.25</v>
      </c>
      <c r="S78" s="22">
        <v>3.0303030303030304E-2</v>
      </c>
      <c r="T78" t="str" cm="1">
        <f t="array" ref="T78">_xlfn.SWITCH(TRUE,data[[#This Row],[Profit Margin]]&lt;0,"Negative",data[[#This Row],[Profit Margin]]&lt;0.1,"Low",data[[#This Row],[Profit Margin]]&lt;0.2,"Medium","High")</f>
        <v>Low</v>
      </c>
    </row>
    <row r="79" spans="1:20" x14ac:dyDescent="0.35">
      <c r="A79">
        <v>78</v>
      </c>
      <c r="B79" s="1" t="s">
        <v>32</v>
      </c>
      <c r="C79" s="1" t="s">
        <v>25</v>
      </c>
      <c r="D79" s="1" t="s">
        <v>39</v>
      </c>
      <c r="E79" s="1" t="s">
        <v>46</v>
      </c>
      <c r="F79">
        <v>787</v>
      </c>
      <c r="G79">
        <v>10</v>
      </c>
      <c r="H79">
        <v>125</v>
      </c>
      <c r="I79">
        <v>983.75</v>
      </c>
      <c r="J79">
        <v>94440</v>
      </c>
      <c r="K79" s="2">
        <v>41791</v>
      </c>
      <c r="L79">
        <v>6</v>
      </c>
      <c r="M79" s="1" t="s">
        <v>26</v>
      </c>
      <c r="N79" s="1" t="s">
        <v>78</v>
      </c>
      <c r="O79">
        <v>2014</v>
      </c>
      <c r="P79">
        <v>98375</v>
      </c>
      <c r="Q79">
        <v>97391.25</v>
      </c>
      <c r="R79">
        <v>2951.25</v>
      </c>
      <c r="S79" s="22">
        <v>3.0303030303030304E-2</v>
      </c>
      <c r="T79" t="str" cm="1">
        <f t="array" ref="T79">_xlfn.SWITCH(TRUE,data[[#This Row],[Profit Margin]]&lt;0,"Negative",data[[#This Row],[Profit Margin]]&lt;0.1,"Low",data[[#This Row],[Profit Margin]]&lt;0.2,"Medium","High")</f>
        <v>Low</v>
      </c>
    </row>
    <row r="80" spans="1:20" x14ac:dyDescent="0.35">
      <c r="A80">
        <v>79</v>
      </c>
      <c r="B80" s="1" t="s">
        <v>32</v>
      </c>
      <c r="C80" s="1" t="s">
        <v>27</v>
      </c>
      <c r="D80" s="1" t="s">
        <v>39</v>
      </c>
      <c r="E80" s="1" t="s">
        <v>46</v>
      </c>
      <c r="F80">
        <v>1823</v>
      </c>
      <c r="G80">
        <v>10</v>
      </c>
      <c r="H80">
        <v>125</v>
      </c>
      <c r="I80">
        <v>2278.75</v>
      </c>
      <c r="J80">
        <v>218760</v>
      </c>
      <c r="K80" s="2">
        <v>41821</v>
      </c>
      <c r="L80">
        <v>7</v>
      </c>
      <c r="M80" s="1" t="s">
        <v>33</v>
      </c>
      <c r="N80" s="1" t="s">
        <v>81</v>
      </c>
      <c r="O80">
        <v>2014</v>
      </c>
      <c r="P80">
        <v>227875</v>
      </c>
      <c r="Q80">
        <v>225596.25</v>
      </c>
      <c r="R80">
        <v>6836.25</v>
      </c>
      <c r="S80" s="22">
        <v>3.0303030303030304E-2</v>
      </c>
      <c r="T80" t="str" cm="1">
        <f t="array" ref="T80">_xlfn.SWITCH(TRUE,data[[#This Row],[Profit Margin]]&lt;0,"Negative",data[[#This Row],[Profit Margin]]&lt;0.1,"Low",data[[#This Row],[Profit Margin]]&lt;0.2,"Medium","High")</f>
        <v>Low</v>
      </c>
    </row>
    <row r="81" spans="1:20" x14ac:dyDescent="0.35">
      <c r="A81">
        <v>80</v>
      </c>
      <c r="B81" s="1" t="s">
        <v>24</v>
      </c>
      <c r="C81" s="1" t="s">
        <v>23</v>
      </c>
      <c r="D81" s="1" t="s">
        <v>39</v>
      </c>
      <c r="E81" s="1" t="s">
        <v>46</v>
      </c>
      <c r="F81">
        <v>747</v>
      </c>
      <c r="G81">
        <v>10</v>
      </c>
      <c r="H81">
        <v>15</v>
      </c>
      <c r="I81">
        <v>112.05</v>
      </c>
      <c r="J81">
        <v>7470</v>
      </c>
      <c r="K81" s="2">
        <v>41883</v>
      </c>
      <c r="L81">
        <v>9</v>
      </c>
      <c r="M81" s="1" t="s">
        <v>36</v>
      </c>
      <c r="N81" s="1" t="s">
        <v>83</v>
      </c>
      <c r="O81">
        <v>2014</v>
      </c>
      <c r="P81">
        <v>11205</v>
      </c>
      <c r="Q81">
        <v>11092.95</v>
      </c>
      <c r="R81">
        <v>3622.9500000000007</v>
      </c>
      <c r="S81" s="22">
        <v>0.32659932659932667</v>
      </c>
      <c r="T81" t="str" cm="1">
        <f t="array" ref="T81">_xlfn.SWITCH(TRUE,data[[#This Row],[Profit Margin]]&lt;0,"Negative",data[[#This Row],[Profit Margin]]&lt;0.1,"Low",data[[#This Row],[Profit Margin]]&lt;0.2,"Medium","High")</f>
        <v>High</v>
      </c>
    </row>
    <row r="82" spans="1:20" x14ac:dyDescent="0.35">
      <c r="A82">
        <v>81</v>
      </c>
      <c r="B82" s="1" t="s">
        <v>31</v>
      </c>
      <c r="C82" s="1" t="s">
        <v>23</v>
      </c>
      <c r="D82" s="1" t="s">
        <v>39</v>
      </c>
      <c r="E82" s="1" t="s">
        <v>46</v>
      </c>
      <c r="F82">
        <v>766</v>
      </c>
      <c r="G82">
        <v>10</v>
      </c>
      <c r="H82">
        <v>12</v>
      </c>
      <c r="I82">
        <v>91.92</v>
      </c>
      <c r="J82">
        <v>2298</v>
      </c>
      <c r="K82" s="2">
        <v>41548</v>
      </c>
      <c r="L82">
        <v>10</v>
      </c>
      <c r="M82" s="1" t="s">
        <v>37</v>
      </c>
      <c r="N82" s="1" t="s">
        <v>84</v>
      </c>
      <c r="O82">
        <v>2013</v>
      </c>
      <c r="P82">
        <v>9192</v>
      </c>
      <c r="Q82">
        <v>9100.08</v>
      </c>
      <c r="R82">
        <v>6802.08</v>
      </c>
      <c r="S82" s="22">
        <v>0.74747474747474751</v>
      </c>
      <c r="T82" t="str" cm="1">
        <f t="array" ref="T82">_xlfn.SWITCH(TRUE,data[[#This Row],[Profit Margin]]&lt;0,"Negative",data[[#This Row],[Profit Margin]]&lt;0.1,"Low",data[[#This Row],[Profit Margin]]&lt;0.2,"Medium","High")</f>
        <v>High</v>
      </c>
    </row>
    <row r="83" spans="1:20" x14ac:dyDescent="0.35">
      <c r="A83">
        <v>82</v>
      </c>
      <c r="B83" s="1" t="s">
        <v>34</v>
      </c>
      <c r="C83" s="1" t="s">
        <v>38</v>
      </c>
      <c r="D83" s="1" t="s">
        <v>39</v>
      </c>
      <c r="E83" s="1" t="s">
        <v>46</v>
      </c>
      <c r="F83">
        <v>2905</v>
      </c>
      <c r="G83">
        <v>10</v>
      </c>
      <c r="H83">
        <v>300</v>
      </c>
      <c r="I83">
        <v>8715</v>
      </c>
      <c r="J83">
        <v>726250</v>
      </c>
      <c r="K83" s="2">
        <v>41944</v>
      </c>
      <c r="L83">
        <v>11</v>
      </c>
      <c r="M83" s="1" t="s">
        <v>41</v>
      </c>
      <c r="N83" s="1" t="s">
        <v>86</v>
      </c>
      <c r="O83">
        <v>2014</v>
      </c>
      <c r="P83">
        <v>871500</v>
      </c>
      <c r="Q83">
        <v>862785</v>
      </c>
      <c r="R83">
        <v>136535</v>
      </c>
      <c r="S83" s="22">
        <v>0.15824915824915825</v>
      </c>
      <c r="T83" t="str" cm="1">
        <f t="array" ref="T83">_xlfn.SWITCH(TRUE,data[[#This Row],[Profit Margin]]&lt;0,"Negative",data[[#This Row],[Profit Margin]]&lt;0.1,"Low",data[[#This Row],[Profit Margin]]&lt;0.2,"Medium","High")</f>
        <v>Medium</v>
      </c>
    </row>
    <row r="84" spans="1:20" x14ac:dyDescent="0.35">
      <c r="A84">
        <v>83</v>
      </c>
      <c r="B84" s="1" t="s">
        <v>18</v>
      </c>
      <c r="C84" s="1" t="s">
        <v>25</v>
      </c>
      <c r="D84" s="1" t="s">
        <v>39</v>
      </c>
      <c r="E84" s="1" t="s">
        <v>46</v>
      </c>
      <c r="F84">
        <v>2155</v>
      </c>
      <c r="G84">
        <v>10</v>
      </c>
      <c r="H84">
        <v>350</v>
      </c>
      <c r="I84">
        <v>7542.5</v>
      </c>
      <c r="J84">
        <v>560300</v>
      </c>
      <c r="K84" s="2">
        <v>41974</v>
      </c>
      <c r="L84">
        <v>12</v>
      </c>
      <c r="M84" s="1" t="s">
        <v>28</v>
      </c>
      <c r="N84" s="1" t="s">
        <v>79</v>
      </c>
      <c r="O84">
        <v>2014</v>
      </c>
      <c r="P84">
        <v>754250</v>
      </c>
      <c r="Q84">
        <v>746707.5</v>
      </c>
      <c r="R84">
        <v>186407.5</v>
      </c>
      <c r="S84" s="22">
        <v>0.24963924963924963</v>
      </c>
      <c r="T84" t="str" cm="1">
        <f t="array" ref="T84">_xlfn.SWITCH(TRUE,data[[#This Row],[Profit Margin]]&lt;0,"Negative",data[[#This Row],[Profit Margin]]&lt;0.1,"Low",data[[#This Row],[Profit Margin]]&lt;0.2,"Medium","High")</f>
        <v>High</v>
      </c>
    </row>
    <row r="85" spans="1:20" x14ac:dyDescent="0.35">
      <c r="A85">
        <v>84</v>
      </c>
      <c r="B85" s="1" t="s">
        <v>18</v>
      </c>
      <c r="C85" s="1" t="s">
        <v>25</v>
      </c>
      <c r="D85" s="1" t="s">
        <v>42</v>
      </c>
      <c r="E85" s="1" t="s">
        <v>46</v>
      </c>
      <c r="F85">
        <v>3864</v>
      </c>
      <c r="G85">
        <v>120</v>
      </c>
      <c r="H85">
        <v>20</v>
      </c>
      <c r="I85">
        <v>772.80000000000007</v>
      </c>
      <c r="J85">
        <v>38640</v>
      </c>
      <c r="K85" s="2">
        <v>41730</v>
      </c>
      <c r="L85">
        <v>4</v>
      </c>
      <c r="M85" s="1" t="s">
        <v>44</v>
      </c>
      <c r="N85" s="1" t="s">
        <v>87</v>
      </c>
      <c r="O85">
        <v>2014</v>
      </c>
      <c r="P85">
        <v>77280</v>
      </c>
      <c r="Q85">
        <v>76507.199999999997</v>
      </c>
      <c r="R85">
        <v>37867.199999999997</v>
      </c>
      <c r="S85" s="22">
        <v>0.49494949494949492</v>
      </c>
      <c r="T85" t="str" cm="1">
        <f t="array" ref="T85">_xlfn.SWITCH(TRUE,data[[#This Row],[Profit Margin]]&lt;0,"Negative",data[[#This Row],[Profit Margin]]&lt;0.1,"Low",data[[#This Row],[Profit Margin]]&lt;0.2,"Medium","High")</f>
        <v>High</v>
      </c>
    </row>
    <row r="86" spans="1:20" x14ac:dyDescent="0.35">
      <c r="A86">
        <v>85</v>
      </c>
      <c r="B86" s="1" t="s">
        <v>18</v>
      </c>
      <c r="C86" s="1" t="s">
        <v>27</v>
      </c>
      <c r="D86" s="1" t="s">
        <v>42</v>
      </c>
      <c r="E86" s="1" t="s">
        <v>46</v>
      </c>
      <c r="F86">
        <v>362</v>
      </c>
      <c r="G86">
        <v>120</v>
      </c>
      <c r="H86">
        <v>7</v>
      </c>
      <c r="I86">
        <v>25.34</v>
      </c>
      <c r="J86">
        <v>1810</v>
      </c>
      <c r="K86" s="2">
        <v>41760</v>
      </c>
      <c r="L86">
        <v>5</v>
      </c>
      <c r="M86" s="1" t="s">
        <v>47</v>
      </c>
      <c r="N86" s="1" t="s">
        <v>47</v>
      </c>
      <c r="O86">
        <v>2014</v>
      </c>
      <c r="P86">
        <v>2534</v>
      </c>
      <c r="Q86">
        <v>2508.66</v>
      </c>
      <c r="R86">
        <v>698.65999999999985</v>
      </c>
      <c r="S86" s="22">
        <v>0.27849927849927847</v>
      </c>
      <c r="T86" t="str" cm="1">
        <f t="array" ref="T86">_xlfn.SWITCH(TRUE,data[[#This Row],[Profit Margin]]&lt;0,"Negative",data[[#This Row],[Profit Margin]]&lt;0.1,"Low",data[[#This Row],[Profit Margin]]&lt;0.2,"Medium","High")</f>
        <v>High</v>
      </c>
    </row>
    <row r="87" spans="1:20" x14ac:dyDescent="0.35">
      <c r="A87">
        <v>86</v>
      </c>
      <c r="B87" s="1" t="s">
        <v>32</v>
      </c>
      <c r="C87" s="1" t="s">
        <v>19</v>
      </c>
      <c r="D87" s="1" t="s">
        <v>42</v>
      </c>
      <c r="E87" s="1" t="s">
        <v>46</v>
      </c>
      <c r="F87">
        <v>923</v>
      </c>
      <c r="G87">
        <v>120</v>
      </c>
      <c r="H87">
        <v>125</v>
      </c>
      <c r="I87">
        <v>1153.75</v>
      </c>
      <c r="J87">
        <v>110760</v>
      </c>
      <c r="K87" s="2">
        <v>41852</v>
      </c>
      <c r="L87">
        <v>8</v>
      </c>
      <c r="M87" s="1" t="s">
        <v>35</v>
      </c>
      <c r="N87" s="1" t="s">
        <v>82</v>
      </c>
      <c r="O87">
        <v>2014</v>
      </c>
      <c r="P87">
        <v>115375</v>
      </c>
      <c r="Q87">
        <v>114221.25</v>
      </c>
      <c r="R87">
        <v>3461.25</v>
      </c>
      <c r="S87" s="22">
        <v>3.0303030303030304E-2</v>
      </c>
      <c r="T87" t="str" cm="1">
        <f t="array" ref="T87">_xlfn.SWITCH(TRUE,data[[#This Row],[Profit Margin]]&lt;0,"Negative",data[[#This Row],[Profit Margin]]&lt;0.1,"Low",data[[#This Row],[Profit Margin]]&lt;0.2,"Medium","High")</f>
        <v>Low</v>
      </c>
    </row>
    <row r="88" spans="1:20" x14ac:dyDescent="0.35">
      <c r="A88">
        <v>87</v>
      </c>
      <c r="B88" s="1" t="s">
        <v>32</v>
      </c>
      <c r="C88" s="1" t="s">
        <v>38</v>
      </c>
      <c r="D88" s="1" t="s">
        <v>42</v>
      </c>
      <c r="E88" s="1" t="s">
        <v>46</v>
      </c>
      <c r="F88">
        <v>663</v>
      </c>
      <c r="G88">
        <v>120</v>
      </c>
      <c r="H88">
        <v>125</v>
      </c>
      <c r="I88">
        <v>828.75</v>
      </c>
      <c r="J88">
        <v>79560</v>
      </c>
      <c r="K88" s="2">
        <v>41548</v>
      </c>
      <c r="L88">
        <v>10</v>
      </c>
      <c r="M88" s="1" t="s">
        <v>37</v>
      </c>
      <c r="N88" s="1" t="s">
        <v>84</v>
      </c>
      <c r="O88">
        <v>2013</v>
      </c>
      <c r="P88">
        <v>82875</v>
      </c>
      <c r="Q88">
        <v>82046.25</v>
      </c>
      <c r="R88">
        <v>2486.25</v>
      </c>
      <c r="S88" s="22">
        <v>3.0303030303030304E-2</v>
      </c>
      <c r="T88" t="str" cm="1">
        <f t="array" ref="T88">_xlfn.SWITCH(TRUE,data[[#This Row],[Profit Margin]]&lt;0,"Negative",data[[#This Row],[Profit Margin]]&lt;0.1,"Low",data[[#This Row],[Profit Margin]]&lt;0.2,"Medium","High")</f>
        <v>Low</v>
      </c>
    </row>
    <row r="89" spans="1:20" x14ac:dyDescent="0.35">
      <c r="A89">
        <v>88</v>
      </c>
      <c r="B89" s="1" t="s">
        <v>18</v>
      </c>
      <c r="C89" s="1" t="s">
        <v>19</v>
      </c>
      <c r="D89" s="1" t="s">
        <v>42</v>
      </c>
      <c r="E89" s="1" t="s">
        <v>46</v>
      </c>
      <c r="F89">
        <v>2092</v>
      </c>
      <c r="G89">
        <v>120</v>
      </c>
      <c r="H89">
        <v>7</v>
      </c>
      <c r="I89">
        <v>146.44</v>
      </c>
      <c r="J89">
        <v>10460</v>
      </c>
      <c r="K89" s="2">
        <v>41579</v>
      </c>
      <c r="L89">
        <v>11</v>
      </c>
      <c r="M89" s="1" t="s">
        <v>41</v>
      </c>
      <c r="N89" s="1" t="s">
        <v>86</v>
      </c>
      <c r="O89">
        <v>2013</v>
      </c>
      <c r="P89">
        <v>14644</v>
      </c>
      <c r="Q89">
        <v>14497.56</v>
      </c>
      <c r="R89">
        <v>4037.5599999999995</v>
      </c>
      <c r="S89" s="22">
        <v>0.27849927849927847</v>
      </c>
      <c r="T89" t="str" cm="1">
        <f t="array" ref="T89">_xlfn.SWITCH(TRUE,data[[#This Row],[Profit Margin]]&lt;0,"Negative",data[[#This Row],[Profit Margin]]&lt;0.1,"Low",data[[#This Row],[Profit Margin]]&lt;0.2,"Medium","High")</f>
        <v>High</v>
      </c>
    </row>
    <row r="90" spans="1:20" x14ac:dyDescent="0.35">
      <c r="A90">
        <v>89</v>
      </c>
      <c r="B90" s="1" t="s">
        <v>18</v>
      </c>
      <c r="C90" s="1" t="s">
        <v>23</v>
      </c>
      <c r="D90" s="1" t="s">
        <v>43</v>
      </c>
      <c r="E90" s="1" t="s">
        <v>46</v>
      </c>
      <c r="F90">
        <v>263</v>
      </c>
      <c r="G90">
        <v>250</v>
      </c>
      <c r="H90">
        <v>7</v>
      </c>
      <c r="I90">
        <v>18.41</v>
      </c>
      <c r="J90">
        <v>1315</v>
      </c>
      <c r="K90" s="2">
        <v>41699</v>
      </c>
      <c r="L90">
        <v>3</v>
      </c>
      <c r="M90" s="1" t="s">
        <v>30</v>
      </c>
      <c r="N90" s="1" t="s">
        <v>80</v>
      </c>
      <c r="O90">
        <v>2014</v>
      </c>
      <c r="P90">
        <v>1841</v>
      </c>
      <c r="Q90">
        <v>1822.59</v>
      </c>
      <c r="R90">
        <v>507.58999999999992</v>
      </c>
      <c r="S90" s="22">
        <v>0.27849927849927847</v>
      </c>
      <c r="T90" t="str" cm="1">
        <f t="array" ref="T90">_xlfn.SWITCH(TRUE,data[[#This Row],[Profit Margin]]&lt;0,"Negative",data[[#This Row],[Profit Margin]]&lt;0.1,"Low",data[[#This Row],[Profit Margin]]&lt;0.2,"Medium","High")</f>
        <v>High</v>
      </c>
    </row>
    <row r="91" spans="1:20" x14ac:dyDescent="0.35">
      <c r="A91">
        <v>90</v>
      </c>
      <c r="B91" s="1" t="s">
        <v>18</v>
      </c>
      <c r="C91" s="1" t="s">
        <v>19</v>
      </c>
      <c r="D91" s="1" t="s">
        <v>43</v>
      </c>
      <c r="E91" s="1" t="s">
        <v>46</v>
      </c>
      <c r="F91">
        <v>943.5</v>
      </c>
      <c r="G91">
        <v>250</v>
      </c>
      <c r="H91">
        <v>350</v>
      </c>
      <c r="I91">
        <v>3302.25</v>
      </c>
      <c r="J91">
        <v>245310</v>
      </c>
      <c r="K91" s="2">
        <v>41730</v>
      </c>
      <c r="L91">
        <v>4</v>
      </c>
      <c r="M91" s="1" t="s">
        <v>44</v>
      </c>
      <c r="N91" s="1" t="s">
        <v>87</v>
      </c>
      <c r="O91">
        <v>2014</v>
      </c>
      <c r="P91">
        <v>330225</v>
      </c>
      <c r="Q91">
        <v>326922.75</v>
      </c>
      <c r="R91">
        <v>81612.75</v>
      </c>
      <c r="S91" s="22">
        <v>0.24963924963924963</v>
      </c>
      <c r="T91" t="str" cm="1">
        <f t="array" ref="T91">_xlfn.SWITCH(TRUE,data[[#This Row],[Profit Margin]]&lt;0,"Negative",data[[#This Row],[Profit Margin]]&lt;0.1,"Low",data[[#This Row],[Profit Margin]]&lt;0.2,"Medium","High")</f>
        <v>High</v>
      </c>
    </row>
    <row r="92" spans="1:20" x14ac:dyDescent="0.35">
      <c r="A92">
        <v>91</v>
      </c>
      <c r="B92" s="1" t="s">
        <v>32</v>
      </c>
      <c r="C92" s="1" t="s">
        <v>38</v>
      </c>
      <c r="D92" s="1" t="s">
        <v>43</v>
      </c>
      <c r="E92" s="1" t="s">
        <v>46</v>
      </c>
      <c r="F92">
        <v>727</v>
      </c>
      <c r="G92">
        <v>250</v>
      </c>
      <c r="H92">
        <v>125</v>
      </c>
      <c r="I92">
        <v>908.75</v>
      </c>
      <c r="J92">
        <v>87240</v>
      </c>
      <c r="K92" s="2">
        <v>41791</v>
      </c>
      <c r="L92">
        <v>6</v>
      </c>
      <c r="M92" s="1" t="s">
        <v>26</v>
      </c>
      <c r="N92" s="1" t="s">
        <v>78</v>
      </c>
      <c r="O92">
        <v>2014</v>
      </c>
      <c r="P92">
        <v>90875</v>
      </c>
      <c r="Q92">
        <v>89966.25</v>
      </c>
      <c r="R92">
        <v>2726.25</v>
      </c>
      <c r="S92" s="22">
        <v>3.0303030303030304E-2</v>
      </c>
      <c r="T92" t="str" cm="1">
        <f t="array" ref="T92">_xlfn.SWITCH(TRUE,data[[#This Row],[Profit Margin]]&lt;0,"Negative",data[[#This Row],[Profit Margin]]&lt;0.1,"Low",data[[#This Row],[Profit Margin]]&lt;0.2,"Medium","High")</f>
        <v>Low</v>
      </c>
    </row>
    <row r="93" spans="1:20" x14ac:dyDescent="0.35">
      <c r="A93">
        <v>92</v>
      </c>
      <c r="B93" s="1" t="s">
        <v>32</v>
      </c>
      <c r="C93" s="1" t="s">
        <v>25</v>
      </c>
      <c r="D93" s="1" t="s">
        <v>43</v>
      </c>
      <c r="E93" s="1" t="s">
        <v>46</v>
      </c>
      <c r="F93">
        <v>787</v>
      </c>
      <c r="G93">
        <v>250</v>
      </c>
      <c r="H93">
        <v>125</v>
      </c>
      <c r="I93">
        <v>983.75</v>
      </c>
      <c r="J93">
        <v>94440</v>
      </c>
      <c r="K93" s="2">
        <v>41791</v>
      </c>
      <c r="L93">
        <v>6</v>
      </c>
      <c r="M93" s="1" t="s">
        <v>26</v>
      </c>
      <c r="N93" s="1" t="s">
        <v>78</v>
      </c>
      <c r="O93">
        <v>2014</v>
      </c>
      <c r="P93">
        <v>98375</v>
      </c>
      <c r="Q93">
        <v>97391.25</v>
      </c>
      <c r="R93">
        <v>2951.25</v>
      </c>
      <c r="S93" s="22">
        <v>3.0303030303030304E-2</v>
      </c>
      <c r="T93" t="str" cm="1">
        <f t="array" ref="T93">_xlfn.SWITCH(TRUE,data[[#This Row],[Profit Margin]]&lt;0,"Negative",data[[#This Row],[Profit Margin]]&lt;0.1,"Low",data[[#This Row],[Profit Margin]]&lt;0.2,"Medium","High")</f>
        <v>Low</v>
      </c>
    </row>
    <row r="94" spans="1:20" x14ac:dyDescent="0.35">
      <c r="A94">
        <v>93</v>
      </c>
      <c r="B94" s="1" t="s">
        <v>34</v>
      </c>
      <c r="C94" s="1" t="s">
        <v>23</v>
      </c>
      <c r="D94" s="1" t="s">
        <v>43</v>
      </c>
      <c r="E94" s="1" t="s">
        <v>46</v>
      </c>
      <c r="F94">
        <v>986</v>
      </c>
      <c r="G94">
        <v>250</v>
      </c>
      <c r="H94">
        <v>300</v>
      </c>
      <c r="I94">
        <v>2958</v>
      </c>
      <c r="J94">
        <v>246500</v>
      </c>
      <c r="K94" s="2">
        <v>41883</v>
      </c>
      <c r="L94">
        <v>9</v>
      </c>
      <c r="M94" s="1" t="s">
        <v>36</v>
      </c>
      <c r="N94" s="1" t="s">
        <v>83</v>
      </c>
      <c r="O94">
        <v>2014</v>
      </c>
      <c r="P94">
        <v>295800</v>
      </c>
      <c r="Q94">
        <v>292842</v>
      </c>
      <c r="R94">
        <v>46342</v>
      </c>
      <c r="S94" s="22">
        <v>0.15824915824915825</v>
      </c>
      <c r="T94" t="str" cm="1">
        <f t="array" ref="T94">_xlfn.SWITCH(TRUE,data[[#This Row],[Profit Margin]]&lt;0,"Negative",data[[#This Row],[Profit Margin]]&lt;0.1,"Low",data[[#This Row],[Profit Margin]]&lt;0.2,"Medium","High")</f>
        <v>Medium</v>
      </c>
    </row>
    <row r="95" spans="1:20" x14ac:dyDescent="0.35">
      <c r="A95">
        <v>94</v>
      </c>
      <c r="B95" s="1" t="s">
        <v>34</v>
      </c>
      <c r="C95" s="1" t="s">
        <v>27</v>
      </c>
      <c r="D95" s="1" t="s">
        <v>43</v>
      </c>
      <c r="E95" s="1" t="s">
        <v>46</v>
      </c>
      <c r="F95">
        <v>494</v>
      </c>
      <c r="G95">
        <v>250</v>
      </c>
      <c r="H95">
        <v>300</v>
      </c>
      <c r="I95">
        <v>1482</v>
      </c>
      <c r="J95">
        <v>123500</v>
      </c>
      <c r="K95" s="2">
        <v>41548</v>
      </c>
      <c r="L95">
        <v>10</v>
      </c>
      <c r="M95" s="1" t="s">
        <v>37</v>
      </c>
      <c r="N95" s="1" t="s">
        <v>84</v>
      </c>
      <c r="O95">
        <v>2013</v>
      </c>
      <c r="P95">
        <v>148200</v>
      </c>
      <c r="Q95">
        <v>146718</v>
      </c>
      <c r="R95">
        <v>23218</v>
      </c>
      <c r="S95" s="22">
        <v>0.15824915824915825</v>
      </c>
      <c r="T95" t="str" cm="1">
        <f t="array" ref="T95">_xlfn.SWITCH(TRUE,data[[#This Row],[Profit Margin]]&lt;0,"Negative",data[[#This Row],[Profit Margin]]&lt;0.1,"Low",data[[#This Row],[Profit Margin]]&lt;0.2,"Medium","High")</f>
        <v>Medium</v>
      </c>
    </row>
    <row r="96" spans="1:20" x14ac:dyDescent="0.35">
      <c r="A96">
        <v>95</v>
      </c>
      <c r="B96" s="1" t="s">
        <v>18</v>
      </c>
      <c r="C96" s="1" t="s">
        <v>27</v>
      </c>
      <c r="D96" s="1" t="s">
        <v>43</v>
      </c>
      <c r="E96" s="1" t="s">
        <v>46</v>
      </c>
      <c r="F96">
        <v>1397</v>
      </c>
      <c r="G96">
        <v>250</v>
      </c>
      <c r="H96">
        <v>350</v>
      </c>
      <c r="I96">
        <v>4889.5</v>
      </c>
      <c r="J96">
        <v>363220</v>
      </c>
      <c r="K96" s="2">
        <v>41913</v>
      </c>
      <c r="L96">
        <v>10</v>
      </c>
      <c r="M96" s="1" t="s">
        <v>37</v>
      </c>
      <c r="N96" s="1" t="s">
        <v>84</v>
      </c>
      <c r="O96">
        <v>2014</v>
      </c>
      <c r="P96">
        <v>488950</v>
      </c>
      <c r="Q96">
        <v>484060.5</v>
      </c>
      <c r="R96">
        <v>120840.5</v>
      </c>
      <c r="S96" s="22">
        <v>0.24963924963924963</v>
      </c>
      <c r="T96" t="str" cm="1">
        <f t="array" ref="T96">_xlfn.SWITCH(TRUE,data[[#This Row],[Profit Margin]]&lt;0,"Negative",data[[#This Row],[Profit Margin]]&lt;0.1,"Low",data[[#This Row],[Profit Margin]]&lt;0.2,"Medium","High")</f>
        <v>High</v>
      </c>
    </row>
    <row r="97" spans="1:20" x14ac:dyDescent="0.35">
      <c r="A97">
        <v>96</v>
      </c>
      <c r="B97" s="1" t="s">
        <v>32</v>
      </c>
      <c r="C97" s="1" t="s">
        <v>25</v>
      </c>
      <c r="D97" s="1" t="s">
        <v>43</v>
      </c>
      <c r="E97" s="1" t="s">
        <v>46</v>
      </c>
      <c r="F97">
        <v>1744</v>
      </c>
      <c r="G97">
        <v>250</v>
      </c>
      <c r="H97">
        <v>125</v>
      </c>
      <c r="I97">
        <v>2180</v>
      </c>
      <c r="J97">
        <v>209280</v>
      </c>
      <c r="K97" s="2">
        <v>41944</v>
      </c>
      <c r="L97">
        <v>11</v>
      </c>
      <c r="M97" s="1" t="s">
        <v>41</v>
      </c>
      <c r="N97" s="1" t="s">
        <v>86</v>
      </c>
      <c r="O97">
        <v>2014</v>
      </c>
      <c r="P97">
        <v>218000</v>
      </c>
      <c r="Q97">
        <v>215820</v>
      </c>
      <c r="R97">
        <v>6540</v>
      </c>
      <c r="S97" s="22">
        <v>3.0303030303030304E-2</v>
      </c>
      <c r="T97" t="str" cm="1">
        <f t="array" ref="T97">_xlfn.SWITCH(TRUE,data[[#This Row],[Profit Margin]]&lt;0,"Negative",data[[#This Row],[Profit Margin]]&lt;0.1,"Low",data[[#This Row],[Profit Margin]]&lt;0.2,"Medium","High")</f>
        <v>Low</v>
      </c>
    </row>
    <row r="98" spans="1:20" x14ac:dyDescent="0.35">
      <c r="A98">
        <v>97</v>
      </c>
      <c r="B98" s="1" t="s">
        <v>31</v>
      </c>
      <c r="C98" s="1" t="s">
        <v>38</v>
      </c>
      <c r="D98" s="1" t="s">
        <v>45</v>
      </c>
      <c r="E98" s="1" t="s">
        <v>46</v>
      </c>
      <c r="F98">
        <v>1989</v>
      </c>
      <c r="G98">
        <v>260</v>
      </c>
      <c r="H98">
        <v>12</v>
      </c>
      <c r="I98">
        <v>238.68</v>
      </c>
      <c r="J98">
        <v>5967</v>
      </c>
      <c r="K98" s="2">
        <v>41518</v>
      </c>
      <c r="L98">
        <v>9</v>
      </c>
      <c r="M98" s="1" t="s">
        <v>36</v>
      </c>
      <c r="N98" s="1" t="s">
        <v>83</v>
      </c>
      <c r="O98">
        <v>2013</v>
      </c>
      <c r="P98">
        <v>23868</v>
      </c>
      <c r="Q98">
        <v>23629.32</v>
      </c>
      <c r="R98">
        <v>17662.32</v>
      </c>
      <c r="S98" s="22">
        <v>0.74747474747474751</v>
      </c>
      <c r="T98" t="str" cm="1">
        <f t="array" ref="T98">_xlfn.SWITCH(TRUE,data[[#This Row],[Profit Margin]]&lt;0,"Negative",data[[#This Row],[Profit Margin]]&lt;0.1,"Low",data[[#This Row],[Profit Margin]]&lt;0.2,"Medium","High")</f>
        <v>High</v>
      </c>
    </row>
    <row r="99" spans="1:20" x14ac:dyDescent="0.35">
      <c r="A99">
        <v>98</v>
      </c>
      <c r="B99" s="1" t="s">
        <v>24</v>
      </c>
      <c r="C99" s="1" t="s">
        <v>25</v>
      </c>
      <c r="D99" s="1" t="s">
        <v>45</v>
      </c>
      <c r="E99" s="1" t="s">
        <v>46</v>
      </c>
      <c r="F99">
        <v>321</v>
      </c>
      <c r="G99">
        <v>260</v>
      </c>
      <c r="H99">
        <v>15</v>
      </c>
      <c r="I99">
        <v>48.15</v>
      </c>
      <c r="J99">
        <v>3210</v>
      </c>
      <c r="K99" s="2">
        <v>41579</v>
      </c>
      <c r="L99">
        <v>11</v>
      </c>
      <c r="M99" s="1" t="s">
        <v>41</v>
      </c>
      <c r="N99" s="1" t="s">
        <v>86</v>
      </c>
      <c r="O99">
        <v>2013</v>
      </c>
      <c r="P99">
        <v>4815</v>
      </c>
      <c r="Q99">
        <v>4766.8500000000004</v>
      </c>
      <c r="R99">
        <v>1556.8500000000004</v>
      </c>
      <c r="S99" s="22">
        <v>0.32659932659932667</v>
      </c>
      <c r="T99" t="str" cm="1">
        <f t="array" ref="T99">_xlfn.SWITCH(TRUE,data[[#This Row],[Profit Margin]]&lt;0,"Negative",data[[#This Row],[Profit Margin]]&lt;0.1,"Low",data[[#This Row],[Profit Margin]]&lt;0.2,"Medium","High")</f>
        <v>High</v>
      </c>
    </row>
    <row r="100" spans="1:20" x14ac:dyDescent="0.35">
      <c r="A100">
        <v>99</v>
      </c>
      <c r="B100" s="1" t="s">
        <v>32</v>
      </c>
      <c r="C100" s="1" t="s">
        <v>19</v>
      </c>
      <c r="D100" s="1" t="s">
        <v>20</v>
      </c>
      <c r="E100" s="1" t="s">
        <v>46</v>
      </c>
      <c r="F100">
        <v>742.5</v>
      </c>
      <c r="G100">
        <v>3</v>
      </c>
      <c r="H100">
        <v>125</v>
      </c>
      <c r="I100">
        <v>1856.25</v>
      </c>
      <c r="J100">
        <v>89100</v>
      </c>
      <c r="K100" s="2">
        <v>41730</v>
      </c>
      <c r="L100">
        <v>4</v>
      </c>
      <c r="M100" s="1" t="s">
        <v>44</v>
      </c>
      <c r="N100" s="1" t="s">
        <v>87</v>
      </c>
      <c r="O100">
        <v>2014</v>
      </c>
      <c r="P100">
        <v>92812.5</v>
      </c>
      <c r="Q100">
        <v>90956.25</v>
      </c>
      <c r="R100">
        <v>1856.25</v>
      </c>
      <c r="S100" s="22">
        <v>2.0408163265306121E-2</v>
      </c>
      <c r="T100" t="str" cm="1">
        <f t="array" ref="T100">_xlfn.SWITCH(TRUE,data[[#This Row],[Profit Margin]]&lt;0,"Negative",data[[#This Row],[Profit Margin]]&lt;0.1,"Low",data[[#This Row],[Profit Margin]]&lt;0.2,"Medium","High")</f>
        <v>Low</v>
      </c>
    </row>
    <row r="101" spans="1:20" x14ac:dyDescent="0.35">
      <c r="A101">
        <v>100</v>
      </c>
      <c r="B101" s="1" t="s">
        <v>31</v>
      </c>
      <c r="C101" s="1" t="s">
        <v>19</v>
      </c>
      <c r="D101" s="1" t="s">
        <v>20</v>
      </c>
      <c r="E101" s="1" t="s">
        <v>46</v>
      </c>
      <c r="F101">
        <v>1295</v>
      </c>
      <c r="G101">
        <v>3</v>
      </c>
      <c r="H101">
        <v>12</v>
      </c>
      <c r="I101">
        <v>310.8</v>
      </c>
      <c r="J101">
        <v>3885</v>
      </c>
      <c r="K101" s="2">
        <v>41913</v>
      </c>
      <c r="L101">
        <v>10</v>
      </c>
      <c r="M101" s="1" t="s">
        <v>37</v>
      </c>
      <c r="N101" s="1" t="s">
        <v>84</v>
      </c>
      <c r="O101">
        <v>2014</v>
      </c>
      <c r="P101">
        <v>15540</v>
      </c>
      <c r="Q101">
        <v>15229.2</v>
      </c>
      <c r="R101">
        <v>11344.2</v>
      </c>
      <c r="S101" s="22">
        <v>0.74489795918367352</v>
      </c>
      <c r="T101" t="str" cm="1">
        <f t="array" ref="T101">_xlfn.SWITCH(TRUE,data[[#This Row],[Profit Margin]]&lt;0,"Negative",data[[#This Row],[Profit Margin]]&lt;0.1,"Low",data[[#This Row],[Profit Margin]]&lt;0.2,"Medium","High")</f>
        <v>High</v>
      </c>
    </row>
    <row r="102" spans="1:20" x14ac:dyDescent="0.35">
      <c r="A102">
        <v>101</v>
      </c>
      <c r="B102" s="1" t="s">
        <v>34</v>
      </c>
      <c r="C102" s="1" t="s">
        <v>23</v>
      </c>
      <c r="D102" s="1" t="s">
        <v>20</v>
      </c>
      <c r="E102" s="1" t="s">
        <v>46</v>
      </c>
      <c r="F102">
        <v>214</v>
      </c>
      <c r="G102">
        <v>3</v>
      </c>
      <c r="H102">
        <v>300</v>
      </c>
      <c r="I102">
        <v>1284</v>
      </c>
      <c r="J102">
        <v>53500</v>
      </c>
      <c r="K102" s="2">
        <v>41548</v>
      </c>
      <c r="L102">
        <v>10</v>
      </c>
      <c r="M102" s="1" t="s">
        <v>37</v>
      </c>
      <c r="N102" s="1" t="s">
        <v>84</v>
      </c>
      <c r="O102">
        <v>2013</v>
      </c>
      <c r="P102">
        <v>64200</v>
      </c>
      <c r="Q102">
        <v>62916</v>
      </c>
      <c r="R102">
        <v>9416</v>
      </c>
      <c r="S102" s="22">
        <v>0.14965986394557823</v>
      </c>
      <c r="T102" t="str" cm="1">
        <f t="array" ref="T102">_xlfn.SWITCH(TRUE,data[[#This Row],[Profit Margin]]&lt;0,"Negative",data[[#This Row],[Profit Margin]]&lt;0.1,"Low",data[[#This Row],[Profit Margin]]&lt;0.2,"Medium","High")</f>
        <v>Medium</v>
      </c>
    </row>
    <row r="103" spans="1:20" x14ac:dyDescent="0.35">
      <c r="A103">
        <v>102</v>
      </c>
      <c r="B103" s="1" t="s">
        <v>18</v>
      </c>
      <c r="C103" s="1" t="s">
        <v>25</v>
      </c>
      <c r="D103" s="1" t="s">
        <v>20</v>
      </c>
      <c r="E103" s="1" t="s">
        <v>46</v>
      </c>
      <c r="F103">
        <v>2145</v>
      </c>
      <c r="G103">
        <v>3</v>
      </c>
      <c r="H103">
        <v>7</v>
      </c>
      <c r="I103">
        <v>300.3</v>
      </c>
      <c r="J103">
        <v>10725</v>
      </c>
      <c r="K103" s="2">
        <v>41579</v>
      </c>
      <c r="L103">
        <v>11</v>
      </c>
      <c r="M103" s="1" t="s">
        <v>41</v>
      </c>
      <c r="N103" s="1" t="s">
        <v>86</v>
      </c>
      <c r="O103">
        <v>2013</v>
      </c>
      <c r="P103">
        <v>15015</v>
      </c>
      <c r="Q103">
        <v>14714.7</v>
      </c>
      <c r="R103">
        <v>3989.7000000000007</v>
      </c>
      <c r="S103" s="22">
        <v>0.2711370262390671</v>
      </c>
      <c r="T103" t="str" cm="1">
        <f t="array" ref="T103">_xlfn.SWITCH(TRUE,data[[#This Row],[Profit Margin]]&lt;0,"Negative",data[[#This Row],[Profit Margin]]&lt;0.1,"Low",data[[#This Row],[Profit Margin]]&lt;0.2,"Medium","High")</f>
        <v>High</v>
      </c>
    </row>
    <row r="104" spans="1:20" x14ac:dyDescent="0.35">
      <c r="A104">
        <v>103</v>
      </c>
      <c r="B104" s="1" t="s">
        <v>18</v>
      </c>
      <c r="C104" s="1" t="s">
        <v>19</v>
      </c>
      <c r="D104" s="1" t="s">
        <v>20</v>
      </c>
      <c r="E104" s="1" t="s">
        <v>46</v>
      </c>
      <c r="F104">
        <v>2852</v>
      </c>
      <c r="G104">
        <v>3</v>
      </c>
      <c r="H104">
        <v>350</v>
      </c>
      <c r="I104">
        <v>19964</v>
      </c>
      <c r="J104">
        <v>741520</v>
      </c>
      <c r="K104" s="2">
        <v>41974</v>
      </c>
      <c r="L104">
        <v>12</v>
      </c>
      <c r="M104" s="1" t="s">
        <v>28</v>
      </c>
      <c r="N104" s="1" t="s">
        <v>79</v>
      </c>
      <c r="O104">
        <v>2014</v>
      </c>
      <c r="P104">
        <v>998200</v>
      </c>
      <c r="Q104">
        <v>978236</v>
      </c>
      <c r="R104">
        <v>236716</v>
      </c>
      <c r="S104" s="22">
        <v>0.24198250728862974</v>
      </c>
      <c r="T104" t="str" cm="1">
        <f t="array" ref="T104">_xlfn.SWITCH(TRUE,data[[#This Row],[Profit Margin]]&lt;0,"Negative",data[[#This Row],[Profit Margin]]&lt;0.1,"Low",data[[#This Row],[Profit Margin]]&lt;0.2,"Medium","High")</f>
        <v>High</v>
      </c>
    </row>
    <row r="105" spans="1:20" x14ac:dyDescent="0.35">
      <c r="A105">
        <v>104</v>
      </c>
      <c r="B105" s="1" t="s">
        <v>31</v>
      </c>
      <c r="C105" s="1" t="s">
        <v>38</v>
      </c>
      <c r="D105" s="1" t="s">
        <v>29</v>
      </c>
      <c r="E105" s="1" t="s">
        <v>46</v>
      </c>
      <c r="F105">
        <v>1142</v>
      </c>
      <c r="G105">
        <v>5</v>
      </c>
      <c r="H105">
        <v>12</v>
      </c>
      <c r="I105">
        <v>274.08</v>
      </c>
      <c r="J105">
        <v>3426</v>
      </c>
      <c r="K105" s="2">
        <v>41791</v>
      </c>
      <c r="L105">
        <v>6</v>
      </c>
      <c r="M105" s="1" t="s">
        <v>26</v>
      </c>
      <c r="N105" s="1" t="s">
        <v>78</v>
      </c>
      <c r="O105">
        <v>2014</v>
      </c>
      <c r="P105">
        <v>13704</v>
      </c>
      <c r="Q105">
        <v>13429.92</v>
      </c>
      <c r="R105">
        <v>10003.92</v>
      </c>
      <c r="S105" s="22">
        <v>0.74489795918367352</v>
      </c>
      <c r="T105" t="str" cm="1">
        <f t="array" ref="T105">_xlfn.SWITCH(TRUE,data[[#This Row],[Profit Margin]]&lt;0,"Negative",data[[#This Row],[Profit Margin]]&lt;0.1,"Low",data[[#This Row],[Profit Margin]]&lt;0.2,"Medium","High")</f>
        <v>High</v>
      </c>
    </row>
    <row r="106" spans="1:20" x14ac:dyDescent="0.35">
      <c r="A106">
        <v>105</v>
      </c>
      <c r="B106" s="1" t="s">
        <v>18</v>
      </c>
      <c r="C106" s="1" t="s">
        <v>38</v>
      </c>
      <c r="D106" s="1" t="s">
        <v>29</v>
      </c>
      <c r="E106" s="1" t="s">
        <v>46</v>
      </c>
      <c r="F106">
        <v>1566</v>
      </c>
      <c r="G106">
        <v>5</v>
      </c>
      <c r="H106">
        <v>20</v>
      </c>
      <c r="I106">
        <v>626.4</v>
      </c>
      <c r="J106">
        <v>15660</v>
      </c>
      <c r="K106" s="2">
        <v>41913</v>
      </c>
      <c r="L106">
        <v>10</v>
      </c>
      <c r="M106" s="1" t="s">
        <v>37</v>
      </c>
      <c r="N106" s="1" t="s">
        <v>84</v>
      </c>
      <c r="O106">
        <v>2014</v>
      </c>
      <c r="P106">
        <v>31320</v>
      </c>
      <c r="Q106">
        <v>30693.599999999999</v>
      </c>
      <c r="R106">
        <v>15033.599999999999</v>
      </c>
      <c r="S106" s="22">
        <v>0.48979591836734693</v>
      </c>
      <c r="T106" t="str" cm="1">
        <f t="array" ref="T106">_xlfn.SWITCH(TRUE,data[[#This Row],[Profit Margin]]&lt;0,"Negative",data[[#This Row],[Profit Margin]]&lt;0.1,"Low",data[[#This Row],[Profit Margin]]&lt;0.2,"Medium","High")</f>
        <v>High</v>
      </c>
    </row>
    <row r="107" spans="1:20" x14ac:dyDescent="0.35">
      <c r="A107">
        <v>106</v>
      </c>
      <c r="B107" s="1" t="s">
        <v>31</v>
      </c>
      <c r="C107" s="1" t="s">
        <v>27</v>
      </c>
      <c r="D107" s="1" t="s">
        <v>29</v>
      </c>
      <c r="E107" s="1" t="s">
        <v>46</v>
      </c>
      <c r="F107">
        <v>690</v>
      </c>
      <c r="G107">
        <v>5</v>
      </c>
      <c r="H107">
        <v>12</v>
      </c>
      <c r="I107">
        <v>165.6</v>
      </c>
      <c r="J107">
        <v>2070</v>
      </c>
      <c r="K107" s="2">
        <v>41944</v>
      </c>
      <c r="L107">
        <v>11</v>
      </c>
      <c r="M107" s="1" t="s">
        <v>41</v>
      </c>
      <c r="N107" s="1" t="s">
        <v>86</v>
      </c>
      <c r="O107">
        <v>2014</v>
      </c>
      <c r="P107">
        <v>8280</v>
      </c>
      <c r="Q107">
        <v>8114.4</v>
      </c>
      <c r="R107">
        <v>6044.4</v>
      </c>
      <c r="S107" s="22">
        <v>0.74489795918367341</v>
      </c>
      <c r="T107" t="str" cm="1">
        <f t="array" ref="T107">_xlfn.SWITCH(TRUE,data[[#This Row],[Profit Margin]]&lt;0,"Negative",data[[#This Row],[Profit Margin]]&lt;0.1,"Low",data[[#This Row],[Profit Margin]]&lt;0.2,"Medium","High")</f>
        <v>High</v>
      </c>
    </row>
    <row r="108" spans="1:20" x14ac:dyDescent="0.35">
      <c r="A108">
        <v>107</v>
      </c>
      <c r="B108" s="1" t="s">
        <v>32</v>
      </c>
      <c r="C108" s="1" t="s">
        <v>27</v>
      </c>
      <c r="D108" s="1" t="s">
        <v>29</v>
      </c>
      <c r="E108" s="1" t="s">
        <v>46</v>
      </c>
      <c r="F108">
        <v>1660</v>
      </c>
      <c r="G108">
        <v>5</v>
      </c>
      <c r="H108">
        <v>125</v>
      </c>
      <c r="I108">
        <v>4150</v>
      </c>
      <c r="J108">
        <v>199200</v>
      </c>
      <c r="K108" s="2">
        <v>41579</v>
      </c>
      <c r="L108">
        <v>11</v>
      </c>
      <c r="M108" s="1" t="s">
        <v>41</v>
      </c>
      <c r="N108" s="1" t="s">
        <v>86</v>
      </c>
      <c r="O108">
        <v>2013</v>
      </c>
      <c r="P108">
        <v>207500</v>
      </c>
      <c r="Q108">
        <v>203350</v>
      </c>
      <c r="R108">
        <v>4150</v>
      </c>
      <c r="S108" s="22">
        <v>2.0408163265306121E-2</v>
      </c>
      <c r="T108" t="str" cm="1">
        <f t="array" ref="T108">_xlfn.SWITCH(TRUE,data[[#This Row],[Profit Margin]]&lt;0,"Negative",data[[#This Row],[Profit Margin]]&lt;0.1,"Low",data[[#This Row],[Profit Margin]]&lt;0.2,"Medium","High")</f>
        <v>Low</v>
      </c>
    </row>
    <row r="109" spans="1:20" x14ac:dyDescent="0.35">
      <c r="A109">
        <v>108</v>
      </c>
      <c r="B109" s="1" t="s">
        <v>24</v>
      </c>
      <c r="C109" s="1" t="s">
        <v>19</v>
      </c>
      <c r="D109" s="1" t="s">
        <v>39</v>
      </c>
      <c r="E109" s="1" t="s">
        <v>46</v>
      </c>
      <c r="F109">
        <v>2363</v>
      </c>
      <c r="G109">
        <v>10</v>
      </c>
      <c r="H109">
        <v>15</v>
      </c>
      <c r="I109">
        <v>708.9</v>
      </c>
      <c r="J109">
        <v>23630</v>
      </c>
      <c r="K109" s="2">
        <v>41671</v>
      </c>
      <c r="L109">
        <v>2</v>
      </c>
      <c r="M109" s="1" t="s">
        <v>40</v>
      </c>
      <c r="N109" s="1" t="s">
        <v>85</v>
      </c>
      <c r="O109">
        <v>2014</v>
      </c>
      <c r="P109">
        <v>35445</v>
      </c>
      <c r="Q109">
        <v>34736.1</v>
      </c>
      <c r="R109">
        <v>11106.099999999999</v>
      </c>
      <c r="S109" s="22">
        <v>0.31972789115646255</v>
      </c>
      <c r="T109" t="str" cm="1">
        <f t="array" ref="T109">_xlfn.SWITCH(TRUE,data[[#This Row],[Profit Margin]]&lt;0,"Negative",data[[#This Row],[Profit Margin]]&lt;0.1,"Low",data[[#This Row],[Profit Margin]]&lt;0.2,"Medium","High")</f>
        <v>High</v>
      </c>
    </row>
    <row r="110" spans="1:20" x14ac:dyDescent="0.35">
      <c r="A110">
        <v>109</v>
      </c>
      <c r="B110" s="1" t="s">
        <v>34</v>
      </c>
      <c r="C110" s="1" t="s">
        <v>25</v>
      </c>
      <c r="D110" s="1" t="s">
        <v>39</v>
      </c>
      <c r="E110" s="1" t="s">
        <v>46</v>
      </c>
      <c r="F110">
        <v>918</v>
      </c>
      <c r="G110">
        <v>10</v>
      </c>
      <c r="H110">
        <v>300</v>
      </c>
      <c r="I110">
        <v>5508</v>
      </c>
      <c r="J110">
        <v>229500</v>
      </c>
      <c r="K110" s="2">
        <v>41760</v>
      </c>
      <c r="L110">
        <v>5</v>
      </c>
      <c r="M110" s="1" t="s">
        <v>47</v>
      </c>
      <c r="N110" s="1" t="s">
        <v>47</v>
      </c>
      <c r="O110">
        <v>2014</v>
      </c>
      <c r="P110">
        <v>275400</v>
      </c>
      <c r="Q110">
        <v>269892</v>
      </c>
      <c r="R110">
        <v>40392</v>
      </c>
      <c r="S110" s="22">
        <v>0.14965986394557823</v>
      </c>
      <c r="T110" t="str" cm="1">
        <f t="array" ref="T110">_xlfn.SWITCH(TRUE,data[[#This Row],[Profit Margin]]&lt;0,"Negative",data[[#This Row],[Profit Margin]]&lt;0.1,"Low",data[[#This Row],[Profit Margin]]&lt;0.2,"Medium","High")</f>
        <v>Medium</v>
      </c>
    </row>
    <row r="111" spans="1:20" x14ac:dyDescent="0.35">
      <c r="A111">
        <v>110</v>
      </c>
      <c r="B111" s="1" t="s">
        <v>34</v>
      </c>
      <c r="C111" s="1" t="s">
        <v>23</v>
      </c>
      <c r="D111" s="1" t="s">
        <v>39</v>
      </c>
      <c r="E111" s="1" t="s">
        <v>46</v>
      </c>
      <c r="F111">
        <v>1728</v>
      </c>
      <c r="G111">
        <v>10</v>
      </c>
      <c r="H111">
        <v>300</v>
      </c>
      <c r="I111">
        <v>10368</v>
      </c>
      <c r="J111">
        <v>432000</v>
      </c>
      <c r="K111" s="2">
        <v>41760</v>
      </c>
      <c r="L111">
        <v>5</v>
      </c>
      <c r="M111" s="1" t="s">
        <v>47</v>
      </c>
      <c r="N111" s="1" t="s">
        <v>47</v>
      </c>
      <c r="O111">
        <v>2014</v>
      </c>
      <c r="P111">
        <v>518400</v>
      </c>
      <c r="Q111">
        <v>508032</v>
      </c>
      <c r="R111">
        <v>76032</v>
      </c>
      <c r="S111" s="22">
        <v>0.14965986394557823</v>
      </c>
      <c r="T111" t="str" cm="1">
        <f t="array" ref="T111">_xlfn.SWITCH(TRUE,data[[#This Row],[Profit Margin]]&lt;0,"Negative",data[[#This Row],[Profit Margin]]&lt;0.1,"Low",data[[#This Row],[Profit Margin]]&lt;0.2,"Medium","High")</f>
        <v>Medium</v>
      </c>
    </row>
    <row r="112" spans="1:20" x14ac:dyDescent="0.35">
      <c r="A112">
        <v>111</v>
      </c>
      <c r="B112" s="1" t="s">
        <v>31</v>
      </c>
      <c r="C112" s="1" t="s">
        <v>38</v>
      </c>
      <c r="D112" s="1" t="s">
        <v>39</v>
      </c>
      <c r="E112" s="1" t="s">
        <v>46</v>
      </c>
      <c r="F112">
        <v>1142</v>
      </c>
      <c r="G112">
        <v>10</v>
      </c>
      <c r="H112">
        <v>12</v>
      </c>
      <c r="I112">
        <v>274.08</v>
      </c>
      <c r="J112">
        <v>3426</v>
      </c>
      <c r="K112" s="2">
        <v>41791</v>
      </c>
      <c r="L112">
        <v>6</v>
      </c>
      <c r="M112" s="1" t="s">
        <v>26</v>
      </c>
      <c r="N112" s="1" t="s">
        <v>78</v>
      </c>
      <c r="O112">
        <v>2014</v>
      </c>
      <c r="P112">
        <v>13704</v>
      </c>
      <c r="Q112">
        <v>13429.92</v>
      </c>
      <c r="R112">
        <v>10003.92</v>
      </c>
      <c r="S112" s="22">
        <v>0.74489795918367352</v>
      </c>
      <c r="T112" t="str" cm="1">
        <f t="array" ref="T112">_xlfn.SWITCH(TRUE,data[[#This Row],[Profit Margin]]&lt;0,"Negative",data[[#This Row],[Profit Margin]]&lt;0.1,"Low",data[[#This Row],[Profit Margin]]&lt;0.2,"Medium","High")</f>
        <v>High</v>
      </c>
    </row>
    <row r="113" spans="1:20" x14ac:dyDescent="0.35">
      <c r="A113">
        <v>112</v>
      </c>
      <c r="B113" s="1" t="s">
        <v>32</v>
      </c>
      <c r="C113" s="1" t="s">
        <v>27</v>
      </c>
      <c r="D113" s="1" t="s">
        <v>39</v>
      </c>
      <c r="E113" s="1" t="s">
        <v>46</v>
      </c>
      <c r="F113">
        <v>662</v>
      </c>
      <c r="G113">
        <v>10</v>
      </c>
      <c r="H113">
        <v>125</v>
      </c>
      <c r="I113">
        <v>1655</v>
      </c>
      <c r="J113">
        <v>79440</v>
      </c>
      <c r="K113" s="2">
        <v>41791</v>
      </c>
      <c r="L113">
        <v>6</v>
      </c>
      <c r="M113" s="1" t="s">
        <v>26</v>
      </c>
      <c r="N113" s="1" t="s">
        <v>78</v>
      </c>
      <c r="O113">
        <v>2014</v>
      </c>
      <c r="P113">
        <v>82750</v>
      </c>
      <c r="Q113">
        <v>81095</v>
      </c>
      <c r="R113">
        <v>1655</v>
      </c>
      <c r="S113" s="22">
        <v>2.0408163265306121E-2</v>
      </c>
      <c r="T113" t="str" cm="1">
        <f t="array" ref="T113">_xlfn.SWITCH(TRUE,data[[#This Row],[Profit Margin]]&lt;0,"Negative",data[[#This Row],[Profit Margin]]&lt;0.1,"Low",data[[#This Row],[Profit Margin]]&lt;0.2,"Medium","High")</f>
        <v>Low</v>
      </c>
    </row>
    <row r="114" spans="1:20" x14ac:dyDescent="0.35">
      <c r="A114">
        <v>113</v>
      </c>
      <c r="B114" s="1" t="s">
        <v>31</v>
      </c>
      <c r="C114" s="1" t="s">
        <v>19</v>
      </c>
      <c r="D114" s="1" t="s">
        <v>39</v>
      </c>
      <c r="E114" s="1" t="s">
        <v>46</v>
      </c>
      <c r="F114">
        <v>1295</v>
      </c>
      <c r="G114">
        <v>10</v>
      </c>
      <c r="H114">
        <v>12</v>
      </c>
      <c r="I114">
        <v>310.8</v>
      </c>
      <c r="J114">
        <v>3885</v>
      </c>
      <c r="K114" s="2">
        <v>41913</v>
      </c>
      <c r="L114">
        <v>10</v>
      </c>
      <c r="M114" s="1" t="s">
        <v>37</v>
      </c>
      <c r="N114" s="1" t="s">
        <v>84</v>
      </c>
      <c r="O114">
        <v>2014</v>
      </c>
      <c r="P114">
        <v>15540</v>
      </c>
      <c r="Q114">
        <v>15229.2</v>
      </c>
      <c r="R114">
        <v>11344.2</v>
      </c>
      <c r="S114" s="22">
        <v>0.74489795918367352</v>
      </c>
      <c r="T114" t="str" cm="1">
        <f t="array" ref="T114">_xlfn.SWITCH(TRUE,data[[#This Row],[Profit Margin]]&lt;0,"Negative",data[[#This Row],[Profit Margin]]&lt;0.1,"Low",data[[#This Row],[Profit Margin]]&lt;0.2,"Medium","High")</f>
        <v>High</v>
      </c>
    </row>
    <row r="115" spans="1:20" x14ac:dyDescent="0.35">
      <c r="A115">
        <v>114</v>
      </c>
      <c r="B115" s="1" t="s">
        <v>32</v>
      </c>
      <c r="C115" s="1" t="s">
        <v>23</v>
      </c>
      <c r="D115" s="1" t="s">
        <v>39</v>
      </c>
      <c r="E115" s="1" t="s">
        <v>46</v>
      </c>
      <c r="F115">
        <v>809</v>
      </c>
      <c r="G115">
        <v>10</v>
      </c>
      <c r="H115">
        <v>125</v>
      </c>
      <c r="I115">
        <v>2022.5</v>
      </c>
      <c r="J115">
        <v>97080</v>
      </c>
      <c r="K115" s="2">
        <v>41548</v>
      </c>
      <c r="L115">
        <v>10</v>
      </c>
      <c r="M115" s="1" t="s">
        <v>37</v>
      </c>
      <c r="N115" s="1" t="s">
        <v>84</v>
      </c>
      <c r="O115">
        <v>2013</v>
      </c>
      <c r="P115">
        <v>101125</v>
      </c>
      <c r="Q115">
        <v>99102.5</v>
      </c>
      <c r="R115">
        <v>2022.5</v>
      </c>
      <c r="S115" s="22">
        <v>2.0408163265306121E-2</v>
      </c>
      <c r="T115" t="str" cm="1">
        <f t="array" ref="T115">_xlfn.SWITCH(TRUE,data[[#This Row],[Profit Margin]]&lt;0,"Negative",data[[#This Row],[Profit Margin]]&lt;0.1,"Low",data[[#This Row],[Profit Margin]]&lt;0.2,"Medium","High")</f>
        <v>Low</v>
      </c>
    </row>
    <row r="116" spans="1:20" x14ac:dyDescent="0.35">
      <c r="A116">
        <v>115</v>
      </c>
      <c r="B116" s="1" t="s">
        <v>32</v>
      </c>
      <c r="C116" s="1" t="s">
        <v>27</v>
      </c>
      <c r="D116" s="1" t="s">
        <v>39</v>
      </c>
      <c r="E116" s="1" t="s">
        <v>46</v>
      </c>
      <c r="F116">
        <v>2145</v>
      </c>
      <c r="G116">
        <v>10</v>
      </c>
      <c r="H116">
        <v>125</v>
      </c>
      <c r="I116">
        <v>5362.5</v>
      </c>
      <c r="J116">
        <v>257400</v>
      </c>
      <c r="K116" s="2">
        <v>41548</v>
      </c>
      <c r="L116">
        <v>10</v>
      </c>
      <c r="M116" s="1" t="s">
        <v>37</v>
      </c>
      <c r="N116" s="1" t="s">
        <v>84</v>
      </c>
      <c r="O116">
        <v>2013</v>
      </c>
      <c r="P116">
        <v>268125</v>
      </c>
      <c r="Q116">
        <v>262762.5</v>
      </c>
      <c r="R116">
        <v>5362.5</v>
      </c>
      <c r="S116" s="22">
        <v>2.0408163265306121E-2</v>
      </c>
      <c r="T116" t="str" cm="1">
        <f t="array" ref="T116">_xlfn.SWITCH(TRUE,data[[#This Row],[Profit Margin]]&lt;0,"Negative",data[[#This Row],[Profit Margin]]&lt;0.1,"Low",data[[#This Row],[Profit Margin]]&lt;0.2,"Medium","High")</f>
        <v>Low</v>
      </c>
    </row>
    <row r="117" spans="1:20" x14ac:dyDescent="0.35">
      <c r="A117">
        <v>116</v>
      </c>
      <c r="B117" s="1" t="s">
        <v>31</v>
      </c>
      <c r="C117" s="1" t="s">
        <v>25</v>
      </c>
      <c r="D117" s="1" t="s">
        <v>39</v>
      </c>
      <c r="E117" s="1" t="s">
        <v>46</v>
      </c>
      <c r="F117">
        <v>1785</v>
      </c>
      <c r="G117">
        <v>10</v>
      </c>
      <c r="H117">
        <v>12</v>
      </c>
      <c r="I117">
        <v>428.4</v>
      </c>
      <c r="J117">
        <v>5355</v>
      </c>
      <c r="K117" s="2">
        <v>41579</v>
      </c>
      <c r="L117">
        <v>11</v>
      </c>
      <c r="M117" s="1" t="s">
        <v>41</v>
      </c>
      <c r="N117" s="1" t="s">
        <v>86</v>
      </c>
      <c r="O117">
        <v>2013</v>
      </c>
      <c r="P117">
        <v>21420</v>
      </c>
      <c r="Q117">
        <v>20991.599999999999</v>
      </c>
      <c r="R117">
        <v>15636.599999999999</v>
      </c>
      <c r="S117" s="22">
        <v>0.74489795918367341</v>
      </c>
      <c r="T117" t="str" cm="1">
        <f t="array" ref="T117">_xlfn.SWITCH(TRUE,data[[#This Row],[Profit Margin]]&lt;0,"Negative",data[[#This Row],[Profit Margin]]&lt;0.1,"Low",data[[#This Row],[Profit Margin]]&lt;0.2,"Medium","High")</f>
        <v>High</v>
      </c>
    </row>
    <row r="118" spans="1:20" x14ac:dyDescent="0.35">
      <c r="A118">
        <v>117</v>
      </c>
      <c r="B118" s="1" t="s">
        <v>34</v>
      </c>
      <c r="C118" s="1" t="s">
        <v>19</v>
      </c>
      <c r="D118" s="1" t="s">
        <v>39</v>
      </c>
      <c r="E118" s="1" t="s">
        <v>46</v>
      </c>
      <c r="F118">
        <v>1916</v>
      </c>
      <c r="G118">
        <v>10</v>
      </c>
      <c r="H118">
        <v>300</v>
      </c>
      <c r="I118">
        <v>11496</v>
      </c>
      <c r="J118">
        <v>479000</v>
      </c>
      <c r="K118" s="2">
        <v>41974</v>
      </c>
      <c r="L118">
        <v>12</v>
      </c>
      <c r="M118" s="1" t="s">
        <v>28</v>
      </c>
      <c r="N118" s="1" t="s">
        <v>79</v>
      </c>
      <c r="O118">
        <v>2014</v>
      </c>
      <c r="P118">
        <v>574800</v>
      </c>
      <c r="Q118">
        <v>563304</v>
      </c>
      <c r="R118">
        <v>84304</v>
      </c>
      <c r="S118" s="22">
        <v>0.14965986394557823</v>
      </c>
      <c r="T118" t="str" cm="1">
        <f t="array" ref="T118">_xlfn.SWITCH(TRUE,data[[#This Row],[Profit Margin]]&lt;0,"Negative",data[[#This Row],[Profit Margin]]&lt;0.1,"Low",data[[#This Row],[Profit Margin]]&lt;0.2,"Medium","High")</f>
        <v>Medium</v>
      </c>
    </row>
    <row r="119" spans="1:20" x14ac:dyDescent="0.35">
      <c r="A119">
        <v>118</v>
      </c>
      <c r="B119" s="1" t="s">
        <v>18</v>
      </c>
      <c r="C119" s="1" t="s">
        <v>19</v>
      </c>
      <c r="D119" s="1" t="s">
        <v>39</v>
      </c>
      <c r="E119" s="1" t="s">
        <v>46</v>
      </c>
      <c r="F119">
        <v>2852</v>
      </c>
      <c r="G119">
        <v>10</v>
      </c>
      <c r="H119">
        <v>350</v>
      </c>
      <c r="I119">
        <v>19964</v>
      </c>
      <c r="J119">
        <v>741520</v>
      </c>
      <c r="K119" s="2">
        <v>41974</v>
      </c>
      <c r="L119">
        <v>12</v>
      </c>
      <c r="M119" s="1" t="s">
        <v>28</v>
      </c>
      <c r="N119" s="1" t="s">
        <v>79</v>
      </c>
      <c r="O119">
        <v>2014</v>
      </c>
      <c r="P119">
        <v>998200</v>
      </c>
      <c r="Q119">
        <v>978236</v>
      </c>
      <c r="R119">
        <v>236716</v>
      </c>
      <c r="S119" s="22">
        <v>0.24198250728862974</v>
      </c>
      <c r="T119" t="str" cm="1">
        <f t="array" ref="T119">_xlfn.SWITCH(TRUE,data[[#This Row],[Profit Margin]]&lt;0,"Negative",data[[#This Row],[Profit Margin]]&lt;0.1,"Low",data[[#This Row],[Profit Margin]]&lt;0.2,"Medium","High")</f>
        <v>High</v>
      </c>
    </row>
    <row r="120" spans="1:20" x14ac:dyDescent="0.35">
      <c r="A120">
        <v>119</v>
      </c>
      <c r="B120" s="1" t="s">
        <v>32</v>
      </c>
      <c r="C120" s="1" t="s">
        <v>19</v>
      </c>
      <c r="D120" s="1" t="s">
        <v>39</v>
      </c>
      <c r="E120" s="1" t="s">
        <v>46</v>
      </c>
      <c r="F120">
        <v>2729</v>
      </c>
      <c r="G120">
        <v>10</v>
      </c>
      <c r="H120">
        <v>125</v>
      </c>
      <c r="I120">
        <v>6822.5</v>
      </c>
      <c r="J120">
        <v>327480</v>
      </c>
      <c r="K120" s="2">
        <v>41974</v>
      </c>
      <c r="L120">
        <v>12</v>
      </c>
      <c r="M120" s="1" t="s">
        <v>28</v>
      </c>
      <c r="N120" s="1" t="s">
        <v>79</v>
      </c>
      <c r="O120">
        <v>2014</v>
      </c>
      <c r="P120">
        <v>341125</v>
      </c>
      <c r="Q120">
        <v>334302.5</v>
      </c>
      <c r="R120">
        <v>6822.5</v>
      </c>
      <c r="S120" s="22">
        <v>2.0408163265306121E-2</v>
      </c>
      <c r="T120" t="str" cm="1">
        <f t="array" ref="T120">_xlfn.SWITCH(TRUE,data[[#This Row],[Profit Margin]]&lt;0,"Negative",data[[#This Row],[Profit Margin]]&lt;0.1,"Low",data[[#This Row],[Profit Margin]]&lt;0.2,"Medium","High")</f>
        <v>Low</v>
      </c>
    </row>
    <row r="121" spans="1:20" x14ac:dyDescent="0.35">
      <c r="A121">
        <v>120</v>
      </c>
      <c r="B121" s="1" t="s">
        <v>24</v>
      </c>
      <c r="C121" s="1" t="s">
        <v>38</v>
      </c>
      <c r="D121" s="1" t="s">
        <v>39</v>
      </c>
      <c r="E121" s="1" t="s">
        <v>46</v>
      </c>
      <c r="F121">
        <v>1925</v>
      </c>
      <c r="G121">
        <v>10</v>
      </c>
      <c r="H121">
        <v>15</v>
      </c>
      <c r="I121">
        <v>577.5</v>
      </c>
      <c r="J121">
        <v>19250</v>
      </c>
      <c r="K121" s="2">
        <v>41609</v>
      </c>
      <c r="L121">
        <v>12</v>
      </c>
      <c r="M121" s="1" t="s">
        <v>28</v>
      </c>
      <c r="N121" s="1" t="s">
        <v>79</v>
      </c>
      <c r="O121">
        <v>2013</v>
      </c>
      <c r="P121">
        <v>28875</v>
      </c>
      <c r="Q121">
        <v>28297.5</v>
      </c>
      <c r="R121">
        <v>9047.5</v>
      </c>
      <c r="S121" s="22">
        <v>0.31972789115646261</v>
      </c>
      <c r="T121" t="str" cm="1">
        <f t="array" ref="T121">_xlfn.SWITCH(TRUE,data[[#This Row],[Profit Margin]]&lt;0,"Negative",data[[#This Row],[Profit Margin]]&lt;0.1,"Low",data[[#This Row],[Profit Margin]]&lt;0.2,"Medium","High")</f>
        <v>High</v>
      </c>
    </row>
    <row r="122" spans="1:20" x14ac:dyDescent="0.35">
      <c r="A122">
        <v>121</v>
      </c>
      <c r="B122" s="1" t="s">
        <v>18</v>
      </c>
      <c r="C122" s="1" t="s">
        <v>38</v>
      </c>
      <c r="D122" s="1" t="s">
        <v>39</v>
      </c>
      <c r="E122" s="1" t="s">
        <v>46</v>
      </c>
      <c r="F122">
        <v>2013</v>
      </c>
      <c r="G122">
        <v>10</v>
      </c>
      <c r="H122">
        <v>7</v>
      </c>
      <c r="I122">
        <v>281.82</v>
      </c>
      <c r="J122">
        <v>10065</v>
      </c>
      <c r="K122" s="2">
        <v>41609</v>
      </c>
      <c r="L122">
        <v>12</v>
      </c>
      <c r="M122" s="1" t="s">
        <v>28</v>
      </c>
      <c r="N122" s="1" t="s">
        <v>79</v>
      </c>
      <c r="O122">
        <v>2013</v>
      </c>
      <c r="P122">
        <v>14091</v>
      </c>
      <c r="Q122">
        <v>13809.18</v>
      </c>
      <c r="R122">
        <v>3744.1800000000003</v>
      </c>
      <c r="S122" s="22">
        <v>0.27113702623906705</v>
      </c>
      <c r="T122" t="str" cm="1">
        <f t="array" ref="T122">_xlfn.SWITCH(TRUE,data[[#This Row],[Profit Margin]]&lt;0,"Negative",data[[#This Row],[Profit Margin]]&lt;0.1,"Low",data[[#This Row],[Profit Margin]]&lt;0.2,"Medium","High")</f>
        <v>High</v>
      </c>
    </row>
    <row r="123" spans="1:20" x14ac:dyDescent="0.35">
      <c r="A123">
        <v>122</v>
      </c>
      <c r="B123" s="1" t="s">
        <v>31</v>
      </c>
      <c r="C123" s="1" t="s">
        <v>25</v>
      </c>
      <c r="D123" s="1" t="s">
        <v>39</v>
      </c>
      <c r="E123" s="1" t="s">
        <v>46</v>
      </c>
      <c r="F123">
        <v>1055</v>
      </c>
      <c r="G123">
        <v>10</v>
      </c>
      <c r="H123">
        <v>12</v>
      </c>
      <c r="I123">
        <v>253.2</v>
      </c>
      <c r="J123">
        <v>3165</v>
      </c>
      <c r="K123" s="2">
        <v>41974</v>
      </c>
      <c r="L123">
        <v>12</v>
      </c>
      <c r="M123" s="1" t="s">
        <v>28</v>
      </c>
      <c r="N123" s="1" t="s">
        <v>79</v>
      </c>
      <c r="O123">
        <v>2014</v>
      </c>
      <c r="P123">
        <v>12660</v>
      </c>
      <c r="Q123">
        <v>12406.8</v>
      </c>
      <c r="R123">
        <v>9241.7999999999993</v>
      </c>
      <c r="S123" s="22">
        <v>0.74489795918367341</v>
      </c>
      <c r="T123" t="str" cm="1">
        <f t="array" ref="T123">_xlfn.SWITCH(TRUE,data[[#This Row],[Profit Margin]]&lt;0,"Negative",data[[#This Row],[Profit Margin]]&lt;0.1,"Low",data[[#This Row],[Profit Margin]]&lt;0.2,"Medium","High")</f>
        <v>High</v>
      </c>
    </row>
    <row r="124" spans="1:20" x14ac:dyDescent="0.35">
      <c r="A124">
        <v>123</v>
      </c>
      <c r="B124" s="1" t="s">
        <v>31</v>
      </c>
      <c r="C124" s="1" t="s">
        <v>27</v>
      </c>
      <c r="D124" s="1" t="s">
        <v>39</v>
      </c>
      <c r="E124" s="1" t="s">
        <v>46</v>
      </c>
      <c r="F124">
        <v>1084</v>
      </c>
      <c r="G124">
        <v>10</v>
      </c>
      <c r="H124">
        <v>12</v>
      </c>
      <c r="I124">
        <v>260.16000000000003</v>
      </c>
      <c r="J124">
        <v>3252</v>
      </c>
      <c r="K124" s="2">
        <v>41974</v>
      </c>
      <c r="L124">
        <v>12</v>
      </c>
      <c r="M124" s="1" t="s">
        <v>28</v>
      </c>
      <c r="N124" s="1" t="s">
        <v>79</v>
      </c>
      <c r="O124">
        <v>2014</v>
      </c>
      <c r="P124">
        <v>13008</v>
      </c>
      <c r="Q124">
        <v>12747.84</v>
      </c>
      <c r="R124">
        <v>9495.84</v>
      </c>
      <c r="S124" s="22">
        <v>0.74489795918367352</v>
      </c>
      <c r="T124" t="str" cm="1">
        <f t="array" ref="T124">_xlfn.SWITCH(TRUE,data[[#This Row],[Profit Margin]]&lt;0,"Negative",data[[#This Row],[Profit Margin]]&lt;0.1,"Low",data[[#This Row],[Profit Margin]]&lt;0.2,"Medium","High")</f>
        <v>High</v>
      </c>
    </row>
    <row r="125" spans="1:20" x14ac:dyDescent="0.35">
      <c r="A125">
        <v>124</v>
      </c>
      <c r="B125" s="1" t="s">
        <v>18</v>
      </c>
      <c r="C125" s="1" t="s">
        <v>38</v>
      </c>
      <c r="D125" s="1" t="s">
        <v>42</v>
      </c>
      <c r="E125" s="1" t="s">
        <v>46</v>
      </c>
      <c r="F125">
        <v>1566</v>
      </c>
      <c r="G125">
        <v>120</v>
      </c>
      <c r="H125">
        <v>20</v>
      </c>
      <c r="I125">
        <v>626.4</v>
      </c>
      <c r="J125">
        <v>15660</v>
      </c>
      <c r="K125" s="2">
        <v>41913</v>
      </c>
      <c r="L125">
        <v>10</v>
      </c>
      <c r="M125" s="1" t="s">
        <v>37</v>
      </c>
      <c r="N125" s="1" t="s">
        <v>84</v>
      </c>
      <c r="O125">
        <v>2014</v>
      </c>
      <c r="P125">
        <v>31320</v>
      </c>
      <c r="Q125">
        <v>30693.599999999999</v>
      </c>
      <c r="R125">
        <v>15033.599999999999</v>
      </c>
      <c r="S125" s="22">
        <v>0.48979591836734693</v>
      </c>
      <c r="T125" t="str" cm="1">
        <f t="array" ref="T125">_xlfn.SWITCH(TRUE,data[[#This Row],[Profit Margin]]&lt;0,"Negative",data[[#This Row],[Profit Margin]]&lt;0.1,"Low",data[[#This Row],[Profit Margin]]&lt;0.2,"Medium","High")</f>
        <v>High</v>
      </c>
    </row>
    <row r="126" spans="1:20" x14ac:dyDescent="0.35">
      <c r="A126">
        <v>125</v>
      </c>
      <c r="B126" s="1" t="s">
        <v>18</v>
      </c>
      <c r="C126" s="1" t="s">
        <v>23</v>
      </c>
      <c r="D126" s="1" t="s">
        <v>42</v>
      </c>
      <c r="E126" s="1" t="s">
        <v>46</v>
      </c>
      <c r="F126">
        <v>2966</v>
      </c>
      <c r="G126">
        <v>120</v>
      </c>
      <c r="H126">
        <v>350</v>
      </c>
      <c r="I126">
        <v>20762</v>
      </c>
      <c r="J126">
        <v>771160</v>
      </c>
      <c r="K126" s="2">
        <v>41548</v>
      </c>
      <c r="L126">
        <v>10</v>
      </c>
      <c r="M126" s="1" t="s">
        <v>37</v>
      </c>
      <c r="N126" s="1" t="s">
        <v>84</v>
      </c>
      <c r="O126">
        <v>2013</v>
      </c>
      <c r="P126">
        <v>1038100</v>
      </c>
      <c r="Q126">
        <v>1017338</v>
      </c>
      <c r="R126">
        <v>246178</v>
      </c>
      <c r="S126" s="22">
        <v>0.24198250728862974</v>
      </c>
      <c r="T126" t="str" cm="1">
        <f t="array" ref="T126">_xlfn.SWITCH(TRUE,data[[#This Row],[Profit Margin]]&lt;0,"Negative",data[[#This Row],[Profit Margin]]&lt;0.1,"Low",data[[#This Row],[Profit Margin]]&lt;0.2,"Medium","High")</f>
        <v>High</v>
      </c>
    </row>
    <row r="127" spans="1:20" x14ac:dyDescent="0.35">
      <c r="A127">
        <v>126</v>
      </c>
      <c r="B127" s="1" t="s">
        <v>18</v>
      </c>
      <c r="C127" s="1" t="s">
        <v>23</v>
      </c>
      <c r="D127" s="1" t="s">
        <v>42</v>
      </c>
      <c r="E127" s="1" t="s">
        <v>46</v>
      </c>
      <c r="F127">
        <v>2877</v>
      </c>
      <c r="G127">
        <v>120</v>
      </c>
      <c r="H127">
        <v>350</v>
      </c>
      <c r="I127">
        <v>20139</v>
      </c>
      <c r="J127">
        <v>748020</v>
      </c>
      <c r="K127" s="2">
        <v>41913</v>
      </c>
      <c r="L127">
        <v>10</v>
      </c>
      <c r="M127" s="1" t="s">
        <v>37</v>
      </c>
      <c r="N127" s="1" t="s">
        <v>84</v>
      </c>
      <c r="O127">
        <v>2014</v>
      </c>
      <c r="P127">
        <v>1006950</v>
      </c>
      <c r="Q127">
        <v>986811</v>
      </c>
      <c r="R127">
        <v>238791</v>
      </c>
      <c r="S127" s="22">
        <v>0.24198250728862974</v>
      </c>
      <c r="T127" t="str" cm="1">
        <f t="array" ref="T127">_xlfn.SWITCH(TRUE,data[[#This Row],[Profit Margin]]&lt;0,"Negative",data[[#This Row],[Profit Margin]]&lt;0.1,"Low",data[[#This Row],[Profit Margin]]&lt;0.2,"Medium","High")</f>
        <v>High</v>
      </c>
    </row>
    <row r="128" spans="1:20" x14ac:dyDescent="0.35">
      <c r="A128">
        <v>127</v>
      </c>
      <c r="B128" s="1" t="s">
        <v>32</v>
      </c>
      <c r="C128" s="1" t="s">
        <v>23</v>
      </c>
      <c r="D128" s="1" t="s">
        <v>42</v>
      </c>
      <c r="E128" s="1" t="s">
        <v>46</v>
      </c>
      <c r="F128">
        <v>809</v>
      </c>
      <c r="G128">
        <v>120</v>
      </c>
      <c r="H128">
        <v>125</v>
      </c>
      <c r="I128">
        <v>2022.5</v>
      </c>
      <c r="J128">
        <v>97080</v>
      </c>
      <c r="K128" s="2">
        <v>41548</v>
      </c>
      <c r="L128">
        <v>10</v>
      </c>
      <c r="M128" s="1" t="s">
        <v>37</v>
      </c>
      <c r="N128" s="1" t="s">
        <v>84</v>
      </c>
      <c r="O128">
        <v>2013</v>
      </c>
      <c r="P128">
        <v>101125</v>
      </c>
      <c r="Q128">
        <v>99102.5</v>
      </c>
      <c r="R128">
        <v>2022.5</v>
      </c>
      <c r="S128" s="22">
        <v>2.0408163265306121E-2</v>
      </c>
      <c r="T128" t="str" cm="1">
        <f t="array" ref="T128">_xlfn.SWITCH(TRUE,data[[#This Row],[Profit Margin]]&lt;0,"Negative",data[[#This Row],[Profit Margin]]&lt;0.1,"Low",data[[#This Row],[Profit Margin]]&lt;0.2,"Medium","High")</f>
        <v>Low</v>
      </c>
    </row>
    <row r="129" spans="1:20" x14ac:dyDescent="0.35">
      <c r="A129">
        <v>128</v>
      </c>
      <c r="B129" s="1" t="s">
        <v>32</v>
      </c>
      <c r="C129" s="1" t="s">
        <v>27</v>
      </c>
      <c r="D129" s="1" t="s">
        <v>42</v>
      </c>
      <c r="E129" s="1" t="s">
        <v>46</v>
      </c>
      <c r="F129">
        <v>2145</v>
      </c>
      <c r="G129">
        <v>120</v>
      </c>
      <c r="H129">
        <v>125</v>
      </c>
      <c r="I129">
        <v>5362.5</v>
      </c>
      <c r="J129">
        <v>257400</v>
      </c>
      <c r="K129" s="2">
        <v>41548</v>
      </c>
      <c r="L129">
        <v>10</v>
      </c>
      <c r="M129" s="1" t="s">
        <v>37</v>
      </c>
      <c r="N129" s="1" t="s">
        <v>84</v>
      </c>
      <c r="O129">
        <v>2013</v>
      </c>
      <c r="P129">
        <v>268125</v>
      </c>
      <c r="Q129">
        <v>262762.5</v>
      </c>
      <c r="R129">
        <v>5362.5</v>
      </c>
      <c r="S129" s="22">
        <v>2.0408163265306121E-2</v>
      </c>
      <c r="T129" t="str" cm="1">
        <f t="array" ref="T129">_xlfn.SWITCH(TRUE,data[[#This Row],[Profit Margin]]&lt;0,"Negative",data[[#This Row],[Profit Margin]]&lt;0.1,"Low",data[[#This Row],[Profit Margin]]&lt;0.2,"Medium","High")</f>
        <v>Low</v>
      </c>
    </row>
    <row r="130" spans="1:20" x14ac:dyDescent="0.35">
      <c r="A130">
        <v>129</v>
      </c>
      <c r="B130" s="1" t="s">
        <v>31</v>
      </c>
      <c r="C130" s="1" t="s">
        <v>25</v>
      </c>
      <c r="D130" s="1" t="s">
        <v>42</v>
      </c>
      <c r="E130" s="1" t="s">
        <v>46</v>
      </c>
      <c r="F130">
        <v>1055</v>
      </c>
      <c r="G130">
        <v>120</v>
      </c>
      <c r="H130">
        <v>12</v>
      </c>
      <c r="I130">
        <v>253.2</v>
      </c>
      <c r="J130">
        <v>3165</v>
      </c>
      <c r="K130" s="2">
        <v>41974</v>
      </c>
      <c r="L130">
        <v>12</v>
      </c>
      <c r="M130" s="1" t="s">
        <v>28</v>
      </c>
      <c r="N130" s="1" t="s">
        <v>79</v>
      </c>
      <c r="O130">
        <v>2014</v>
      </c>
      <c r="P130">
        <v>12660</v>
      </c>
      <c r="Q130">
        <v>12406.8</v>
      </c>
      <c r="R130">
        <v>9241.7999999999993</v>
      </c>
      <c r="S130" s="22">
        <v>0.74489795918367341</v>
      </c>
      <c r="T130" t="str" cm="1">
        <f t="array" ref="T130">_xlfn.SWITCH(TRUE,data[[#This Row],[Profit Margin]]&lt;0,"Negative",data[[#This Row],[Profit Margin]]&lt;0.1,"Low",data[[#This Row],[Profit Margin]]&lt;0.2,"Medium","High")</f>
        <v>High</v>
      </c>
    </row>
    <row r="131" spans="1:20" x14ac:dyDescent="0.35">
      <c r="A131">
        <v>130</v>
      </c>
      <c r="B131" s="1" t="s">
        <v>18</v>
      </c>
      <c r="C131" s="1" t="s">
        <v>27</v>
      </c>
      <c r="D131" s="1" t="s">
        <v>42</v>
      </c>
      <c r="E131" s="1" t="s">
        <v>46</v>
      </c>
      <c r="F131">
        <v>544</v>
      </c>
      <c r="G131">
        <v>120</v>
      </c>
      <c r="H131">
        <v>20</v>
      </c>
      <c r="I131">
        <v>217.6</v>
      </c>
      <c r="J131">
        <v>5440</v>
      </c>
      <c r="K131" s="2">
        <v>41609</v>
      </c>
      <c r="L131">
        <v>12</v>
      </c>
      <c r="M131" s="1" t="s">
        <v>28</v>
      </c>
      <c r="N131" s="1" t="s">
        <v>79</v>
      </c>
      <c r="O131">
        <v>2013</v>
      </c>
      <c r="P131">
        <v>10880</v>
      </c>
      <c r="Q131">
        <v>10662.4</v>
      </c>
      <c r="R131">
        <v>5222.3999999999996</v>
      </c>
      <c r="S131" s="22">
        <v>0.48979591836734693</v>
      </c>
      <c r="T131" t="str" cm="1">
        <f t="array" ref="T131">_xlfn.SWITCH(TRUE,data[[#This Row],[Profit Margin]]&lt;0,"Negative",data[[#This Row],[Profit Margin]]&lt;0.1,"Low",data[[#This Row],[Profit Margin]]&lt;0.2,"Medium","High")</f>
        <v>High</v>
      </c>
    </row>
    <row r="132" spans="1:20" x14ac:dyDescent="0.35">
      <c r="A132">
        <v>131</v>
      </c>
      <c r="B132" s="1" t="s">
        <v>31</v>
      </c>
      <c r="C132" s="1" t="s">
        <v>27</v>
      </c>
      <c r="D132" s="1" t="s">
        <v>42</v>
      </c>
      <c r="E132" s="1" t="s">
        <v>46</v>
      </c>
      <c r="F132">
        <v>1084</v>
      </c>
      <c r="G132">
        <v>120</v>
      </c>
      <c r="H132">
        <v>12</v>
      </c>
      <c r="I132">
        <v>260.16000000000003</v>
      </c>
      <c r="J132">
        <v>3252</v>
      </c>
      <c r="K132" s="2">
        <v>41974</v>
      </c>
      <c r="L132">
        <v>12</v>
      </c>
      <c r="M132" s="1" t="s">
        <v>28</v>
      </c>
      <c r="N132" s="1" t="s">
        <v>79</v>
      </c>
      <c r="O132">
        <v>2014</v>
      </c>
      <c r="P132">
        <v>13008</v>
      </c>
      <c r="Q132">
        <v>12747.84</v>
      </c>
      <c r="R132">
        <v>9495.84</v>
      </c>
      <c r="S132" s="22">
        <v>0.74489795918367352</v>
      </c>
      <c r="T132" t="str" cm="1">
        <f t="array" ref="T132">_xlfn.SWITCH(TRUE,data[[#This Row],[Profit Margin]]&lt;0,"Negative",data[[#This Row],[Profit Margin]]&lt;0.1,"Low",data[[#This Row],[Profit Margin]]&lt;0.2,"Medium","High")</f>
        <v>High</v>
      </c>
    </row>
    <row r="133" spans="1:20" x14ac:dyDescent="0.35">
      <c r="A133">
        <v>132</v>
      </c>
      <c r="B133" s="1" t="s">
        <v>32</v>
      </c>
      <c r="C133" s="1" t="s">
        <v>27</v>
      </c>
      <c r="D133" s="1" t="s">
        <v>43</v>
      </c>
      <c r="E133" s="1" t="s">
        <v>46</v>
      </c>
      <c r="F133">
        <v>662</v>
      </c>
      <c r="G133">
        <v>250</v>
      </c>
      <c r="H133">
        <v>125</v>
      </c>
      <c r="I133">
        <v>1655</v>
      </c>
      <c r="J133">
        <v>79440</v>
      </c>
      <c r="K133" s="2">
        <v>41791</v>
      </c>
      <c r="L133">
        <v>6</v>
      </c>
      <c r="M133" s="1" t="s">
        <v>26</v>
      </c>
      <c r="N133" s="1" t="s">
        <v>78</v>
      </c>
      <c r="O133">
        <v>2014</v>
      </c>
      <c r="P133">
        <v>82750</v>
      </c>
      <c r="Q133">
        <v>81095</v>
      </c>
      <c r="R133">
        <v>1655</v>
      </c>
      <c r="S133" s="22">
        <v>2.0408163265306121E-2</v>
      </c>
      <c r="T133" t="str" cm="1">
        <f t="array" ref="T133">_xlfn.SWITCH(TRUE,data[[#This Row],[Profit Margin]]&lt;0,"Negative",data[[#This Row],[Profit Margin]]&lt;0.1,"Low",data[[#This Row],[Profit Margin]]&lt;0.2,"Medium","High")</f>
        <v>Low</v>
      </c>
    </row>
    <row r="134" spans="1:20" x14ac:dyDescent="0.35">
      <c r="A134">
        <v>133</v>
      </c>
      <c r="B134" s="1" t="s">
        <v>34</v>
      </c>
      <c r="C134" s="1" t="s">
        <v>23</v>
      </c>
      <c r="D134" s="1" t="s">
        <v>43</v>
      </c>
      <c r="E134" s="1" t="s">
        <v>46</v>
      </c>
      <c r="F134">
        <v>214</v>
      </c>
      <c r="G134">
        <v>250</v>
      </c>
      <c r="H134">
        <v>300</v>
      </c>
      <c r="I134">
        <v>1284</v>
      </c>
      <c r="J134">
        <v>53500</v>
      </c>
      <c r="K134" s="2">
        <v>41548</v>
      </c>
      <c r="L134">
        <v>10</v>
      </c>
      <c r="M134" s="1" t="s">
        <v>37</v>
      </c>
      <c r="N134" s="1" t="s">
        <v>84</v>
      </c>
      <c r="O134">
        <v>2013</v>
      </c>
      <c r="P134">
        <v>64200</v>
      </c>
      <c r="Q134">
        <v>62916</v>
      </c>
      <c r="R134">
        <v>9416</v>
      </c>
      <c r="S134" s="22">
        <v>0.14965986394557823</v>
      </c>
      <c r="T134" t="str" cm="1">
        <f t="array" ref="T134">_xlfn.SWITCH(TRUE,data[[#This Row],[Profit Margin]]&lt;0,"Negative",data[[#This Row],[Profit Margin]]&lt;0.1,"Low",data[[#This Row],[Profit Margin]]&lt;0.2,"Medium","High")</f>
        <v>Medium</v>
      </c>
    </row>
    <row r="135" spans="1:20" x14ac:dyDescent="0.35">
      <c r="A135">
        <v>134</v>
      </c>
      <c r="B135" s="1" t="s">
        <v>18</v>
      </c>
      <c r="C135" s="1" t="s">
        <v>23</v>
      </c>
      <c r="D135" s="1" t="s">
        <v>43</v>
      </c>
      <c r="E135" s="1" t="s">
        <v>46</v>
      </c>
      <c r="F135">
        <v>2877</v>
      </c>
      <c r="G135">
        <v>250</v>
      </c>
      <c r="H135">
        <v>350</v>
      </c>
      <c r="I135">
        <v>20139</v>
      </c>
      <c r="J135">
        <v>748020</v>
      </c>
      <c r="K135" s="2">
        <v>41913</v>
      </c>
      <c r="L135">
        <v>10</v>
      </c>
      <c r="M135" s="1" t="s">
        <v>37</v>
      </c>
      <c r="N135" s="1" t="s">
        <v>84</v>
      </c>
      <c r="O135">
        <v>2014</v>
      </c>
      <c r="P135">
        <v>1006950</v>
      </c>
      <c r="Q135">
        <v>986811</v>
      </c>
      <c r="R135">
        <v>238791</v>
      </c>
      <c r="S135" s="22">
        <v>0.24198250728862974</v>
      </c>
      <c r="T135" t="str" cm="1">
        <f t="array" ref="T135">_xlfn.SWITCH(TRUE,data[[#This Row],[Profit Margin]]&lt;0,"Negative",data[[#This Row],[Profit Margin]]&lt;0.1,"Low",data[[#This Row],[Profit Margin]]&lt;0.2,"Medium","High")</f>
        <v>High</v>
      </c>
    </row>
    <row r="136" spans="1:20" x14ac:dyDescent="0.35">
      <c r="A136">
        <v>135</v>
      </c>
      <c r="B136" s="1" t="s">
        <v>32</v>
      </c>
      <c r="C136" s="1" t="s">
        <v>19</v>
      </c>
      <c r="D136" s="1" t="s">
        <v>43</v>
      </c>
      <c r="E136" s="1" t="s">
        <v>46</v>
      </c>
      <c r="F136">
        <v>2729</v>
      </c>
      <c r="G136">
        <v>250</v>
      </c>
      <c r="H136">
        <v>125</v>
      </c>
      <c r="I136">
        <v>6822.5</v>
      </c>
      <c r="J136">
        <v>327480</v>
      </c>
      <c r="K136" s="2">
        <v>41974</v>
      </c>
      <c r="L136">
        <v>12</v>
      </c>
      <c r="M136" s="1" t="s">
        <v>28</v>
      </c>
      <c r="N136" s="1" t="s">
        <v>79</v>
      </c>
      <c r="O136">
        <v>2014</v>
      </c>
      <c r="P136">
        <v>341125</v>
      </c>
      <c r="Q136">
        <v>334302.5</v>
      </c>
      <c r="R136">
        <v>6822.5</v>
      </c>
      <c r="S136" s="22">
        <v>2.0408163265306121E-2</v>
      </c>
      <c r="T136" t="str" cm="1">
        <f t="array" ref="T136">_xlfn.SWITCH(TRUE,data[[#This Row],[Profit Margin]]&lt;0,"Negative",data[[#This Row],[Profit Margin]]&lt;0.1,"Low",data[[#This Row],[Profit Margin]]&lt;0.2,"Medium","High")</f>
        <v>Low</v>
      </c>
    </row>
    <row r="137" spans="1:20" x14ac:dyDescent="0.35">
      <c r="A137">
        <v>136</v>
      </c>
      <c r="B137" s="1" t="s">
        <v>18</v>
      </c>
      <c r="C137" s="1" t="s">
        <v>38</v>
      </c>
      <c r="D137" s="1" t="s">
        <v>43</v>
      </c>
      <c r="E137" s="1" t="s">
        <v>46</v>
      </c>
      <c r="F137">
        <v>266</v>
      </c>
      <c r="G137">
        <v>250</v>
      </c>
      <c r="H137">
        <v>350</v>
      </c>
      <c r="I137">
        <v>1862</v>
      </c>
      <c r="J137">
        <v>69160</v>
      </c>
      <c r="K137" s="2">
        <v>41609</v>
      </c>
      <c r="L137">
        <v>12</v>
      </c>
      <c r="M137" s="1" t="s">
        <v>28</v>
      </c>
      <c r="N137" s="1" t="s">
        <v>79</v>
      </c>
      <c r="O137">
        <v>2013</v>
      </c>
      <c r="P137">
        <v>93100</v>
      </c>
      <c r="Q137">
        <v>91238</v>
      </c>
      <c r="R137">
        <v>22078</v>
      </c>
      <c r="S137" s="22">
        <v>0.24198250728862974</v>
      </c>
      <c r="T137" t="str" cm="1">
        <f t="array" ref="T137">_xlfn.SWITCH(TRUE,data[[#This Row],[Profit Margin]]&lt;0,"Negative",data[[#This Row],[Profit Margin]]&lt;0.1,"Low",data[[#This Row],[Profit Margin]]&lt;0.2,"Medium","High")</f>
        <v>High</v>
      </c>
    </row>
    <row r="138" spans="1:20" x14ac:dyDescent="0.35">
      <c r="A138">
        <v>137</v>
      </c>
      <c r="B138" s="1" t="s">
        <v>18</v>
      </c>
      <c r="C138" s="1" t="s">
        <v>27</v>
      </c>
      <c r="D138" s="1" t="s">
        <v>43</v>
      </c>
      <c r="E138" s="1" t="s">
        <v>46</v>
      </c>
      <c r="F138">
        <v>1940</v>
      </c>
      <c r="G138">
        <v>250</v>
      </c>
      <c r="H138">
        <v>350</v>
      </c>
      <c r="I138">
        <v>13580</v>
      </c>
      <c r="J138">
        <v>504400</v>
      </c>
      <c r="K138" s="2">
        <v>41609</v>
      </c>
      <c r="L138">
        <v>12</v>
      </c>
      <c r="M138" s="1" t="s">
        <v>28</v>
      </c>
      <c r="N138" s="1" t="s">
        <v>79</v>
      </c>
      <c r="O138">
        <v>2013</v>
      </c>
      <c r="P138">
        <v>679000</v>
      </c>
      <c r="Q138">
        <v>665420</v>
      </c>
      <c r="R138">
        <v>161020</v>
      </c>
      <c r="S138" s="22">
        <v>0.24198250728862974</v>
      </c>
      <c r="T138" t="str" cm="1">
        <f t="array" ref="T138">_xlfn.SWITCH(TRUE,data[[#This Row],[Profit Margin]]&lt;0,"Negative",data[[#This Row],[Profit Margin]]&lt;0.1,"Low",data[[#This Row],[Profit Margin]]&lt;0.2,"Medium","High")</f>
        <v>High</v>
      </c>
    </row>
    <row r="139" spans="1:20" x14ac:dyDescent="0.35">
      <c r="A139">
        <v>138</v>
      </c>
      <c r="B139" s="1" t="s">
        <v>34</v>
      </c>
      <c r="C139" s="1" t="s">
        <v>23</v>
      </c>
      <c r="D139" s="1" t="s">
        <v>45</v>
      </c>
      <c r="E139" s="1" t="s">
        <v>46</v>
      </c>
      <c r="F139">
        <v>259</v>
      </c>
      <c r="G139">
        <v>260</v>
      </c>
      <c r="H139">
        <v>300</v>
      </c>
      <c r="I139">
        <v>1554</v>
      </c>
      <c r="J139">
        <v>64750</v>
      </c>
      <c r="K139" s="2">
        <v>41699</v>
      </c>
      <c r="L139">
        <v>3</v>
      </c>
      <c r="M139" s="1" t="s">
        <v>30</v>
      </c>
      <c r="N139" s="1" t="s">
        <v>80</v>
      </c>
      <c r="O139">
        <v>2014</v>
      </c>
      <c r="P139">
        <v>77700</v>
      </c>
      <c r="Q139">
        <v>76146</v>
      </c>
      <c r="R139">
        <v>11396</v>
      </c>
      <c r="S139" s="22">
        <v>0.14965986394557823</v>
      </c>
      <c r="T139" t="str" cm="1">
        <f t="array" ref="T139">_xlfn.SWITCH(TRUE,data[[#This Row],[Profit Margin]]&lt;0,"Negative",data[[#This Row],[Profit Margin]]&lt;0.1,"Low",data[[#This Row],[Profit Margin]]&lt;0.2,"Medium","High")</f>
        <v>Medium</v>
      </c>
    </row>
    <row r="140" spans="1:20" x14ac:dyDescent="0.35">
      <c r="A140">
        <v>139</v>
      </c>
      <c r="B140" s="1" t="s">
        <v>34</v>
      </c>
      <c r="C140" s="1" t="s">
        <v>27</v>
      </c>
      <c r="D140" s="1" t="s">
        <v>45</v>
      </c>
      <c r="E140" s="1" t="s">
        <v>46</v>
      </c>
      <c r="F140">
        <v>1101</v>
      </c>
      <c r="G140">
        <v>260</v>
      </c>
      <c r="H140">
        <v>300</v>
      </c>
      <c r="I140">
        <v>6606</v>
      </c>
      <c r="J140">
        <v>275250</v>
      </c>
      <c r="K140" s="2">
        <v>41699</v>
      </c>
      <c r="L140">
        <v>3</v>
      </c>
      <c r="M140" s="1" t="s">
        <v>30</v>
      </c>
      <c r="N140" s="1" t="s">
        <v>80</v>
      </c>
      <c r="O140">
        <v>2014</v>
      </c>
      <c r="P140">
        <v>330300</v>
      </c>
      <c r="Q140">
        <v>323694</v>
      </c>
      <c r="R140">
        <v>48444</v>
      </c>
      <c r="S140" s="22">
        <v>0.14965986394557823</v>
      </c>
      <c r="T140" t="str" cm="1">
        <f t="array" ref="T140">_xlfn.SWITCH(TRUE,data[[#This Row],[Profit Margin]]&lt;0,"Negative",data[[#This Row],[Profit Margin]]&lt;0.1,"Low",data[[#This Row],[Profit Margin]]&lt;0.2,"Medium","High")</f>
        <v>Medium</v>
      </c>
    </row>
    <row r="141" spans="1:20" x14ac:dyDescent="0.35">
      <c r="A141">
        <v>140</v>
      </c>
      <c r="B141" s="1" t="s">
        <v>32</v>
      </c>
      <c r="C141" s="1" t="s">
        <v>23</v>
      </c>
      <c r="D141" s="1" t="s">
        <v>45</v>
      </c>
      <c r="E141" s="1" t="s">
        <v>46</v>
      </c>
      <c r="F141">
        <v>2276</v>
      </c>
      <c r="G141">
        <v>260</v>
      </c>
      <c r="H141">
        <v>125</v>
      </c>
      <c r="I141">
        <v>5690</v>
      </c>
      <c r="J141">
        <v>273120</v>
      </c>
      <c r="K141" s="2">
        <v>41760</v>
      </c>
      <c r="L141">
        <v>5</v>
      </c>
      <c r="M141" s="1" t="s">
        <v>47</v>
      </c>
      <c r="N141" s="1" t="s">
        <v>47</v>
      </c>
      <c r="O141">
        <v>2014</v>
      </c>
      <c r="P141">
        <v>284500</v>
      </c>
      <c r="Q141">
        <v>278810</v>
      </c>
      <c r="R141">
        <v>5690</v>
      </c>
      <c r="S141" s="22">
        <v>2.0408163265306121E-2</v>
      </c>
      <c r="T141" t="str" cm="1">
        <f t="array" ref="T141">_xlfn.SWITCH(TRUE,data[[#This Row],[Profit Margin]]&lt;0,"Negative",data[[#This Row],[Profit Margin]]&lt;0.1,"Low",data[[#This Row],[Profit Margin]]&lt;0.2,"Medium","High")</f>
        <v>Low</v>
      </c>
    </row>
    <row r="142" spans="1:20" x14ac:dyDescent="0.35">
      <c r="A142">
        <v>141</v>
      </c>
      <c r="B142" s="1" t="s">
        <v>18</v>
      </c>
      <c r="C142" s="1" t="s">
        <v>23</v>
      </c>
      <c r="D142" s="1" t="s">
        <v>45</v>
      </c>
      <c r="E142" s="1" t="s">
        <v>46</v>
      </c>
      <c r="F142">
        <v>2966</v>
      </c>
      <c r="G142">
        <v>260</v>
      </c>
      <c r="H142">
        <v>350</v>
      </c>
      <c r="I142">
        <v>20762</v>
      </c>
      <c r="J142">
        <v>771160</v>
      </c>
      <c r="K142" s="2">
        <v>41548</v>
      </c>
      <c r="L142">
        <v>10</v>
      </c>
      <c r="M142" s="1" t="s">
        <v>37</v>
      </c>
      <c r="N142" s="1" t="s">
        <v>84</v>
      </c>
      <c r="O142">
        <v>2013</v>
      </c>
      <c r="P142">
        <v>1038100</v>
      </c>
      <c r="Q142">
        <v>1017338</v>
      </c>
      <c r="R142">
        <v>246178</v>
      </c>
      <c r="S142" s="22">
        <v>0.24198250728862974</v>
      </c>
      <c r="T142" t="str" cm="1">
        <f t="array" ref="T142">_xlfn.SWITCH(TRUE,data[[#This Row],[Profit Margin]]&lt;0,"Negative",data[[#This Row],[Profit Margin]]&lt;0.1,"Low",data[[#This Row],[Profit Margin]]&lt;0.2,"Medium","High")</f>
        <v>High</v>
      </c>
    </row>
    <row r="143" spans="1:20" x14ac:dyDescent="0.35">
      <c r="A143">
        <v>142</v>
      </c>
      <c r="B143" s="1" t="s">
        <v>18</v>
      </c>
      <c r="C143" s="1" t="s">
        <v>38</v>
      </c>
      <c r="D143" s="1" t="s">
        <v>45</v>
      </c>
      <c r="E143" s="1" t="s">
        <v>46</v>
      </c>
      <c r="F143">
        <v>1236</v>
      </c>
      <c r="G143">
        <v>260</v>
      </c>
      <c r="H143">
        <v>20</v>
      </c>
      <c r="I143">
        <v>494.4</v>
      </c>
      <c r="J143">
        <v>12360</v>
      </c>
      <c r="K143" s="2">
        <v>41944</v>
      </c>
      <c r="L143">
        <v>11</v>
      </c>
      <c r="M143" s="1" t="s">
        <v>41</v>
      </c>
      <c r="N143" s="1" t="s">
        <v>86</v>
      </c>
      <c r="O143">
        <v>2014</v>
      </c>
      <c r="P143">
        <v>24720</v>
      </c>
      <c r="Q143">
        <v>24225.599999999999</v>
      </c>
      <c r="R143">
        <v>11865.599999999999</v>
      </c>
      <c r="S143" s="22">
        <v>0.48979591836734693</v>
      </c>
      <c r="T143" t="str" cm="1">
        <f t="array" ref="T143">_xlfn.SWITCH(TRUE,data[[#This Row],[Profit Margin]]&lt;0,"Negative",data[[#This Row],[Profit Margin]]&lt;0.1,"Low",data[[#This Row],[Profit Margin]]&lt;0.2,"Medium","High")</f>
        <v>High</v>
      </c>
    </row>
    <row r="144" spans="1:20" x14ac:dyDescent="0.35">
      <c r="A144">
        <v>143</v>
      </c>
      <c r="B144" s="1" t="s">
        <v>18</v>
      </c>
      <c r="C144" s="1" t="s">
        <v>25</v>
      </c>
      <c r="D144" s="1" t="s">
        <v>45</v>
      </c>
      <c r="E144" s="1" t="s">
        <v>46</v>
      </c>
      <c r="F144">
        <v>941</v>
      </c>
      <c r="G144">
        <v>260</v>
      </c>
      <c r="H144">
        <v>20</v>
      </c>
      <c r="I144">
        <v>376.4</v>
      </c>
      <c r="J144">
        <v>9410</v>
      </c>
      <c r="K144" s="2">
        <v>41944</v>
      </c>
      <c r="L144">
        <v>11</v>
      </c>
      <c r="M144" s="1" t="s">
        <v>41</v>
      </c>
      <c r="N144" s="1" t="s">
        <v>86</v>
      </c>
      <c r="O144">
        <v>2014</v>
      </c>
      <c r="P144">
        <v>18820</v>
      </c>
      <c r="Q144">
        <v>18443.599999999999</v>
      </c>
      <c r="R144">
        <v>9033.5999999999985</v>
      </c>
      <c r="S144" s="22">
        <v>0.48979591836734687</v>
      </c>
      <c r="T144" t="str" cm="1">
        <f t="array" ref="T144">_xlfn.SWITCH(TRUE,data[[#This Row],[Profit Margin]]&lt;0,"Negative",data[[#This Row],[Profit Margin]]&lt;0.1,"Low",data[[#This Row],[Profit Margin]]&lt;0.2,"Medium","High")</f>
        <v>High</v>
      </c>
    </row>
    <row r="145" spans="1:20" x14ac:dyDescent="0.35">
      <c r="A145">
        <v>144</v>
      </c>
      <c r="B145" s="1" t="s">
        <v>34</v>
      </c>
      <c r="C145" s="1" t="s">
        <v>19</v>
      </c>
      <c r="D145" s="1" t="s">
        <v>45</v>
      </c>
      <c r="E145" s="1" t="s">
        <v>46</v>
      </c>
      <c r="F145">
        <v>1916</v>
      </c>
      <c r="G145">
        <v>260</v>
      </c>
      <c r="H145">
        <v>300</v>
      </c>
      <c r="I145">
        <v>11496</v>
      </c>
      <c r="J145">
        <v>479000</v>
      </c>
      <c r="K145" s="2">
        <v>41974</v>
      </c>
      <c r="L145">
        <v>12</v>
      </c>
      <c r="M145" s="1" t="s">
        <v>28</v>
      </c>
      <c r="N145" s="1" t="s">
        <v>79</v>
      </c>
      <c r="O145">
        <v>2014</v>
      </c>
      <c r="P145">
        <v>574800</v>
      </c>
      <c r="Q145">
        <v>563304</v>
      </c>
      <c r="R145">
        <v>84304</v>
      </c>
      <c r="S145" s="22">
        <v>0.14965986394557823</v>
      </c>
      <c r="T145" t="str" cm="1">
        <f t="array" ref="T145">_xlfn.SWITCH(TRUE,data[[#This Row],[Profit Margin]]&lt;0,"Negative",data[[#This Row],[Profit Margin]]&lt;0.1,"Low",data[[#This Row],[Profit Margin]]&lt;0.2,"Medium","High")</f>
        <v>Medium</v>
      </c>
    </row>
    <row r="146" spans="1:20" x14ac:dyDescent="0.35">
      <c r="A146">
        <v>145</v>
      </c>
      <c r="B146" s="1" t="s">
        <v>32</v>
      </c>
      <c r="C146" s="1" t="s">
        <v>25</v>
      </c>
      <c r="D146" s="1" t="s">
        <v>20</v>
      </c>
      <c r="E146" s="1" t="s">
        <v>46</v>
      </c>
      <c r="F146">
        <v>4243.5</v>
      </c>
      <c r="G146">
        <v>3</v>
      </c>
      <c r="H146">
        <v>125</v>
      </c>
      <c r="I146">
        <v>15913.125</v>
      </c>
      <c r="J146">
        <v>509220</v>
      </c>
      <c r="K146" s="2">
        <v>41730</v>
      </c>
      <c r="L146">
        <v>4</v>
      </c>
      <c r="M146" s="1" t="s">
        <v>44</v>
      </c>
      <c r="N146" s="1" t="s">
        <v>87</v>
      </c>
      <c r="O146">
        <v>2014</v>
      </c>
      <c r="P146">
        <v>530437.5</v>
      </c>
      <c r="Q146">
        <v>514524.375</v>
      </c>
      <c r="R146">
        <v>5304.375</v>
      </c>
      <c r="S146" s="22">
        <v>1.0309278350515464E-2</v>
      </c>
      <c r="T146" t="str" cm="1">
        <f t="array" ref="T146">_xlfn.SWITCH(TRUE,data[[#This Row],[Profit Margin]]&lt;0,"Negative",data[[#This Row],[Profit Margin]]&lt;0.1,"Low",data[[#This Row],[Profit Margin]]&lt;0.2,"Medium","High")</f>
        <v>Low</v>
      </c>
    </row>
    <row r="147" spans="1:20" x14ac:dyDescent="0.35">
      <c r="A147">
        <v>146</v>
      </c>
      <c r="B147" s="1" t="s">
        <v>18</v>
      </c>
      <c r="C147" s="1" t="s">
        <v>23</v>
      </c>
      <c r="D147" s="1" t="s">
        <v>20</v>
      </c>
      <c r="E147" s="1" t="s">
        <v>46</v>
      </c>
      <c r="F147">
        <v>2580</v>
      </c>
      <c r="G147">
        <v>3</v>
      </c>
      <c r="H147">
        <v>20</v>
      </c>
      <c r="I147">
        <v>1548</v>
      </c>
      <c r="J147">
        <v>25800</v>
      </c>
      <c r="K147" s="2">
        <v>41730</v>
      </c>
      <c r="L147">
        <v>4</v>
      </c>
      <c r="M147" s="1" t="s">
        <v>44</v>
      </c>
      <c r="N147" s="1" t="s">
        <v>87</v>
      </c>
      <c r="O147">
        <v>2014</v>
      </c>
      <c r="P147">
        <v>51600</v>
      </c>
      <c r="Q147">
        <v>50052</v>
      </c>
      <c r="R147">
        <v>24252</v>
      </c>
      <c r="S147" s="22">
        <v>0.4845360824742268</v>
      </c>
      <c r="T147" t="str" cm="1">
        <f t="array" ref="T147">_xlfn.SWITCH(TRUE,data[[#This Row],[Profit Margin]]&lt;0,"Negative",data[[#This Row],[Profit Margin]]&lt;0.1,"Low",data[[#This Row],[Profit Margin]]&lt;0.2,"Medium","High")</f>
        <v>High</v>
      </c>
    </row>
    <row r="148" spans="1:20" x14ac:dyDescent="0.35">
      <c r="A148">
        <v>147</v>
      </c>
      <c r="B148" s="1" t="s">
        <v>34</v>
      </c>
      <c r="C148" s="1" t="s">
        <v>23</v>
      </c>
      <c r="D148" s="1" t="s">
        <v>20</v>
      </c>
      <c r="E148" s="1" t="s">
        <v>46</v>
      </c>
      <c r="F148">
        <v>689</v>
      </c>
      <c r="G148">
        <v>3</v>
      </c>
      <c r="H148">
        <v>300</v>
      </c>
      <c r="I148">
        <v>6201</v>
      </c>
      <c r="J148">
        <v>172250</v>
      </c>
      <c r="K148" s="2">
        <v>41791</v>
      </c>
      <c r="L148">
        <v>6</v>
      </c>
      <c r="M148" s="1" t="s">
        <v>26</v>
      </c>
      <c r="N148" s="1" t="s">
        <v>78</v>
      </c>
      <c r="O148">
        <v>2014</v>
      </c>
      <c r="P148">
        <v>206700</v>
      </c>
      <c r="Q148">
        <v>200499</v>
      </c>
      <c r="R148">
        <v>28249</v>
      </c>
      <c r="S148" s="22">
        <v>0.14089347079037801</v>
      </c>
      <c r="T148" t="str" cm="1">
        <f t="array" ref="T148">_xlfn.SWITCH(TRUE,data[[#This Row],[Profit Margin]]&lt;0,"Negative",data[[#This Row],[Profit Margin]]&lt;0.1,"Low",data[[#This Row],[Profit Margin]]&lt;0.2,"Medium","High")</f>
        <v>Medium</v>
      </c>
    </row>
    <row r="149" spans="1:20" x14ac:dyDescent="0.35">
      <c r="A149">
        <v>148</v>
      </c>
      <c r="B149" s="1" t="s">
        <v>31</v>
      </c>
      <c r="C149" s="1" t="s">
        <v>38</v>
      </c>
      <c r="D149" s="1" t="s">
        <v>20</v>
      </c>
      <c r="E149" s="1" t="s">
        <v>46</v>
      </c>
      <c r="F149">
        <v>1947</v>
      </c>
      <c r="G149">
        <v>3</v>
      </c>
      <c r="H149">
        <v>12</v>
      </c>
      <c r="I149">
        <v>700.92</v>
      </c>
      <c r="J149">
        <v>5841</v>
      </c>
      <c r="K149" s="2">
        <v>41883</v>
      </c>
      <c r="L149">
        <v>9</v>
      </c>
      <c r="M149" s="1" t="s">
        <v>36</v>
      </c>
      <c r="N149" s="1" t="s">
        <v>83</v>
      </c>
      <c r="O149">
        <v>2014</v>
      </c>
      <c r="P149">
        <v>23364</v>
      </c>
      <c r="Q149">
        <v>22663.08</v>
      </c>
      <c r="R149">
        <v>16822.080000000002</v>
      </c>
      <c r="S149" s="22">
        <v>0.74226804123711343</v>
      </c>
      <c r="T149" t="str" cm="1">
        <f t="array" ref="T149">_xlfn.SWITCH(TRUE,data[[#This Row],[Profit Margin]]&lt;0,"Negative",data[[#This Row],[Profit Margin]]&lt;0.1,"Low",data[[#This Row],[Profit Margin]]&lt;0.2,"Medium","High")</f>
        <v>High</v>
      </c>
    </row>
    <row r="150" spans="1:20" x14ac:dyDescent="0.35">
      <c r="A150">
        <v>149</v>
      </c>
      <c r="B150" s="1" t="s">
        <v>31</v>
      </c>
      <c r="C150" s="1" t="s">
        <v>19</v>
      </c>
      <c r="D150" s="1" t="s">
        <v>20</v>
      </c>
      <c r="E150" s="1" t="s">
        <v>46</v>
      </c>
      <c r="F150">
        <v>908</v>
      </c>
      <c r="G150">
        <v>3</v>
      </c>
      <c r="H150">
        <v>12</v>
      </c>
      <c r="I150">
        <v>326.88</v>
      </c>
      <c r="J150">
        <v>2724</v>
      </c>
      <c r="K150" s="2">
        <v>41609</v>
      </c>
      <c r="L150">
        <v>12</v>
      </c>
      <c r="M150" s="1" t="s">
        <v>28</v>
      </c>
      <c r="N150" s="1" t="s">
        <v>79</v>
      </c>
      <c r="O150">
        <v>2013</v>
      </c>
      <c r="P150">
        <v>10896</v>
      </c>
      <c r="Q150">
        <v>10569.12</v>
      </c>
      <c r="R150">
        <v>7845.1200000000008</v>
      </c>
      <c r="S150" s="22">
        <v>0.74226804123711343</v>
      </c>
      <c r="T150" t="str" cm="1">
        <f t="array" ref="T150">_xlfn.SWITCH(TRUE,data[[#This Row],[Profit Margin]]&lt;0,"Negative",data[[#This Row],[Profit Margin]]&lt;0.1,"Low",data[[#This Row],[Profit Margin]]&lt;0.2,"Medium","High")</f>
        <v>High</v>
      </c>
    </row>
    <row r="151" spans="1:20" x14ac:dyDescent="0.35">
      <c r="A151">
        <v>150</v>
      </c>
      <c r="B151" s="1" t="s">
        <v>18</v>
      </c>
      <c r="C151" s="1" t="s">
        <v>23</v>
      </c>
      <c r="D151" s="1" t="s">
        <v>29</v>
      </c>
      <c r="E151" s="1" t="s">
        <v>46</v>
      </c>
      <c r="F151">
        <v>1958</v>
      </c>
      <c r="G151">
        <v>5</v>
      </c>
      <c r="H151">
        <v>7</v>
      </c>
      <c r="I151">
        <v>411.18</v>
      </c>
      <c r="J151">
        <v>9790</v>
      </c>
      <c r="K151" s="2">
        <v>41671</v>
      </c>
      <c r="L151">
        <v>2</v>
      </c>
      <c r="M151" s="1" t="s">
        <v>40</v>
      </c>
      <c r="N151" s="1" t="s">
        <v>85</v>
      </c>
      <c r="O151">
        <v>2014</v>
      </c>
      <c r="P151">
        <v>13706</v>
      </c>
      <c r="Q151">
        <v>13294.82</v>
      </c>
      <c r="R151">
        <v>3504.8199999999997</v>
      </c>
      <c r="S151" s="22">
        <v>0.26362297496318116</v>
      </c>
      <c r="T151" t="str" cm="1">
        <f t="array" ref="T151">_xlfn.SWITCH(TRUE,data[[#This Row],[Profit Margin]]&lt;0,"Negative",data[[#This Row],[Profit Margin]]&lt;0.1,"Low",data[[#This Row],[Profit Margin]]&lt;0.2,"Medium","High")</f>
        <v>High</v>
      </c>
    </row>
    <row r="152" spans="1:20" x14ac:dyDescent="0.35">
      <c r="A152">
        <v>151</v>
      </c>
      <c r="B152" s="1" t="s">
        <v>31</v>
      </c>
      <c r="C152" s="1" t="s">
        <v>25</v>
      </c>
      <c r="D152" s="1" t="s">
        <v>29</v>
      </c>
      <c r="E152" s="1" t="s">
        <v>46</v>
      </c>
      <c r="F152">
        <v>1901</v>
      </c>
      <c r="G152">
        <v>5</v>
      </c>
      <c r="H152">
        <v>12</v>
      </c>
      <c r="I152">
        <v>684.36</v>
      </c>
      <c r="J152">
        <v>5703</v>
      </c>
      <c r="K152" s="2">
        <v>41791</v>
      </c>
      <c r="L152">
        <v>6</v>
      </c>
      <c r="M152" s="1" t="s">
        <v>26</v>
      </c>
      <c r="N152" s="1" t="s">
        <v>78</v>
      </c>
      <c r="O152">
        <v>2014</v>
      </c>
      <c r="P152">
        <v>22812</v>
      </c>
      <c r="Q152">
        <v>22127.64</v>
      </c>
      <c r="R152">
        <v>16424.64</v>
      </c>
      <c r="S152" s="22">
        <v>0.74226804123711343</v>
      </c>
      <c r="T152" t="str" cm="1">
        <f t="array" ref="T152">_xlfn.SWITCH(TRUE,data[[#This Row],[Profit Margin]]&lt;0,"Negative",data[[#This Row],[Profit Margin]]&lt;0.1,"Low",data[[#This Row],[Profit Margin]]&lt;0.2,"Medium","High")</f>
        <v>High</v>
      </c>
    </row>
    <row r="153" spans="1:20" x14ac:dyDescent="0.35">
      <c r="A153">
        <v>152</v>
      </c>
      <c r="B153" s="1" t="s">
        <v>18</v>
      </c>
      <c r="C153" s="1" t="s">
        <v>25</v>
      </c>
      <c r="D153" s="1" t="s">
        <v>29</v>
      </c>
      <c r="E153" s="1" t="s">
        <v>46</v>
      </c>
      <c r="F153">
        <v>544</v>
      </c>
      <c r="G153">
        <v>5</v>
      </c>
      <c r="H153">
        <v>7</v>
      </c>
      <c r="I153">
        <v>114.24</v>
      </c>
      <c r="J153">
        <v>2720</v>
      </c>
      <c r="K153" s="2">
        <v>41883</v>
      </c>
      <c r="L153">
        <v>9</v>
      </c>
      <c r="M153" s="1" t="s">
        <v>36</v>
      </c>
      <c r="N153" s="1" t="s">
        <v>83</v>
      </c>
      <c r="O153">
        <v>2014</v>
      </c>
      <c r="P153">
        <v>3808</v>
      </c>
      <c r="Q153">
        <v>3693.76</v>
      </c>
      <c r="R153">
        <v>973.76000000000022</v>
      </c>
      <c r="S153" s="22">
        <v>0.26362297496318121</v>
      </c>
      <c r="T153" t="str" cm="1">
        <f t="array" ref="T153">_xlfn.SWITCH(TRUE,data[[#This Row],[Profit Margin]]&lt;0,"Negative",data[[#This Row],[Profit Margin]]&lt;0.1,"Low",data[[#This Row],[Profit Margin]]&lt;0.2,"Medium","High")</f>
        <v>High</v>
      </c>
    </row>
    <row r="154" spans="1:20" x14ac:dyDescent="0.35">
      <c r="A154">
        <v>153</v>
      </c>
      <c r="B154" s="1" t="s">
        <v>18</v>
      </c>
      <c r="C154" s="1" t="s">
        <v>23</v>
      </c>
      <c r="D154" s="1" t="s">
        <v>29</v>
      </c>
      <c r="E154" s="1" t="s">
        <v>46</v>
      </c>
      <c r="F154">
        <v>1797</v>
      </c>
      <c r="G154">
        <v>5</v>
      </c>
      <c r="H154">
        <v>350</v>
      </c>
      <c r="I154">
        <v>18868.5</v>
      </c>
      <c r="J154">
        <v>467220</v>
      </c>
      <c r="K154" s="2">
        <v>41518</v>
      </c>
      <c r="L154">
        <v>9</v>
      </c>
      <c r="M154" s="1" t="s">
        <v>36</v>
      </c>
      <c r="N154" s="1" t="s">
        <v>83</v>
      </c>
      <c r="O154">
        <v>2013</v>
      </c>
      <c r="P154">
        <v>628950</v>
      </c>
      <c r="Q154">
        <v>610081.5</v>
      </c>
      <c r="R154">
        <v>142861.5</v>
      </c>
      <c r="S154" s="22">
        <v>0.2341678939617084</v>
      </c>
      <c r="T154" t="str" cm="1">
        <f t="array" ref="T154">_xlfn.SWITCH(TRUE,data[[#This Row],[Profit Margin]]&lt;0,"Negative",data[[#This Row],[Profit Margin]]&lt;0.1,"Low",data[[#This Row],[Profit Margin]]&lt;0.2,"Medium","High")</f>
        <v>High</v>
      </c>
    </row>
    <row r="155" spans="1:20" x14ac:dyDescent="0.35">
      <c r="A155">
        <v>154</v>
      </c>
      <c r="B155" s="1" t="s">
        <v>32</v>
      </c>
      <c r="C155" s="1" t="s">
        <v>25</v>
      </c>
      <c r="D155" s="1" t="s">
        <v>29</v>
      </c>
      <c r="E155" s="1" t="s">
        <v>46</v>
      </c>
      <c r="F155">
        <v>1287</v>
      </c>
      <c r="G155">
        <v>5</v>
      </c>
      <c r="H155">
        <v>125</v>
      </c>
      <c r="I155">
        <v>4826.25</v>
      </c>
      <c r="J155">
        <v>154440</v>
      </c>
      <c r="K155" s="2">
        <v>41974</v>
      </c>
      <c r="L155">
        <v>12</v>
      </c>
      <c r="M155" s="1" t="s">
        <v>28</v>
      </c>
      <c r="N155" s="1" t="s">
        <v>79</v>
      </c>
      <c r="O155">
        <v>2014</v>
      </c>
      <c r="P155">
        <v>160875</v>
      </c>
      <c r="Q155">
        <v>156048.75</v>
      </c>
      <c r="R155">
        <v>1608.75</v>
      </c>
      <c r="S155" s="22">
        <v>1.0309278350515464E-2</v>
      </c>
      <c r="T155" t="str" cm="1">
        <f t="array" ref="T155">_xlfn.SWITCH(TRUE,data[[#This Row],[Profit Margin]]&lt;0,"Negative",data[[#This Row],[Profit Margin]]&lt;0.1,"Low",data[[#This Row],[Profit Margin]]&lt;0.2,"Medium","High")</f>
        <v>Low</v>
      </c>
    </row>
    <row r="156" spans="1:20" x14ac:dyDescent="0.35">
      <c r="A156">
        <v>155</v>
      </c>
      <c r="B156" s="1" t="s">
        <v>32</v>
      </c>
      <c r="C156" s="1" t="s">
        <v>23</v>
      </c>
      <c r="D156" s="1" t="s">
        <v>29</v>
      </c>
      <c r="E156" s="1" t="s">
        <v>46</v>
      </c>
      <c r="F156">
        <v>1706</v>
      </c>
      <c r="G156">
        <v>5</v>
      </c>
      <c r="H156">
        <v>125</v>
      </c>
      <c r="I156">
        <v>6397.5</v>
      </c>
      <c r="J156">
        <v>204720</v>
      </c>
      <c r="K156" s="2">
        <v>41974</v>
      </c>
      <c r="L156">
        <v>12</v>
      </c>
      <c r="M156" s="1" t="s">
        <v>28</v>
      </c>
      <c r="N156" s="1" t="s">
        <v>79</v>
      </c>
      <c r="O156">
        <v>2014</v>
      </c>
      <c r="P156">
        <v>213250</v>
      </c>
      <c r="Q156">
        <v>206852.5</v>
      </c>
      <c r="R156">
        <v>2132.5</v>
      </c>
      <c r="S156" s="22">
        <v>1.0309278350515464E-2</v>
      </c>
      <c r="T156" t="str" cm="1">
        <f t="array" ref="T156">_xlfn.SWITCH(TRUE,data[[#This Row],[Profit Margin]]&lt;0,"Negative",data[[#This Row],[Profit Margin]]&lt;0.1,"Low",data[[#This Row],[Profit Margin]]&lt;0.2,"Medium","High")</f>
        <v>Low</v>
      </c>
    </row>
    <row r="157" spans="1:20" x14ac:dyDescent="0.35">
      <c r="A157">
        <v>156</v>
      </c>
      <c r="B157" s="1" t="s">
        <v>34</v>
      </c>
      <c r="C157" s="1" t="s">
        <v>25</v>
      </c>
      <c r="D157" s="1" t="s">
        <v>39</v>
      </c>
      <c r="E157" s="1" t="s">
        <v>46</v>
      </c>
      <c r="F157">
        <v>2434.5</v>
      </c>
      <c r="G157">
        <v>10</v>
      </c>
      <c r="H157">
        <v>300</v>
      </c>
      <c r="I157">
        <v>21910.5</v>
      </c>
      <c r="J157">
        <v>608625</v>
      </c>
      <c r="K157" s="2">
        <v>41640</v>
      </c>
      <c r="L157">
        <v>1</v>
      </c>
      <c r="M157" s="1" t="s">
        <v>22</v>
      </c>
      <c r="N157" s="1" t="s">
        <v>77</v>
      </c>
      <c r="O157">
        <v>2014</v>
      </c>
      <c r="P157">
        <v>730350</v>
      </c>
      <c r="Q157">
        <v>708439.5</v>
      </c>
      <c r="R157">
        <v>99814.5</v>
      </c>
      <c r="S157" s="22">
        <v>0.14089347079037801</v>
      </c>
      <c r="T157" t="str" cm="1">
        <f t="array" ref="T157">_xlfn.SWITCH(TRUE,data[[#This Row],[Profit Margin]]&lt;0,"Negative",data[[#This Row],[Profit Margin]]&lt;0.1,"Low",data[[#This Row],[Profit Margin]]&lt;0.2,"Medium","High")</f>
        <v>Medium</v>
      </c>
    </row>
    <row r="158" spans="1:20" x14ac:dyDescent="0.35">
      <c r="A158">
        <v>157</v>
      </c>
      <c r="B158" s="1" t="s">
        <v>32</v>
      </c>
      <c r="C158" s="1" t="s">
        <v>19</v>
      </c>
      <c r="D158" s="1" t="s">
        <v>39</v>
      </c>
      <c r="E158" s="1" t="s">
        <v>46</v>
      </c>
      <c r="F158">
        <v>1774</v>
      </c>
      <c r="G158">
        <v>10</v>
      </c>
      <c r="H158">
        <v>125</v>
      </c>
      <c r="I158">
        <v>6652.5</v>
      </c>
      <c r="J158">
        <v>212880</v>
      </c>
      <c r="K158" s="2">
        <v>41699</v>
      </c>
      <c r="L158">
        <v>3</v>
      </c>
      <c r="M158" s="1" t="s">
        <v>30</v>
      </c>
      <c r="N158" s="1" t="s">
        <v>80</v>
      </c>
      <c r="O158">
        <v>2014</v>
      </c>
      <c r="P158">
        <v>221750</v>
      </c>
      <c r="Q158">
        <v>215097.5</v>
      </c>
      <c r="R158">
        <v>2217.5</v>
      </c>
      <c r="S158" s="22">
        <v>1.0309278350515464E-2</v>
      </c>
      <c r="T158" t="str" cm="1">
        <f t="array" ref="T158">_xlfn.SWITCH(TRUE,data[[#This Row],[Profit Margin]]&lt;0,"Negative",data[[#This Row],[Profit Margin]]&lt;0.1,"Low",data[[#This Row],[Profit Margin]]&lt;0.2,"Medium","High")</f>
        <v>Low</v>
      </c>
    </row>
    <row r="159" spans="1:20" x14ac:dyDescent="0.35">
      <c r="A159">
        <v>158</v>
      </c>
      <c r="B159" s="1" t="s">
        <v>31</v>
      </c>
      <c r="C159" s="1" t="s">
        <v>25</v>
      </c>
      <c r="D159" s="1" t="s">
        <v>39</v>
      </c>
      <c r="E159" s="1" t="s">
        <v>46</v>
      </c>
      <c r="F159">
        <v>1901</v>
      </c>
      <c r="G159">
        <v>10</v>
      </c>
      <c r="H159">
        <v>12</v>
      </c>
      <c r="I159">
        <v>684.36</v>
      </c>
      <c r="J159">
        <v>5703</v>
      </c>
      <c r="K159" s="2">
        <v>41791</v>
      </c>
      <c r="L159">
        <v>6</v>
      </c>
      <c r="M159" s="1" t="s">
        <v>26</v>
      </c>
      <c r="N159" s="1" t="s">
        <v>78</v>
      </c>
      <c r="O159">
        <v>2014</v>
      </c>
      <c r="P159">
        <v>22812</v>
      </c>
      <c r="Q159">
        <v>22127.64</v>
      </c>
      <c r="R159">
        <v>16424.64</v>
      </c>
      <c r="S159" s="22">
        <v>0.74226804123711343</v>
      </c>
      <c r="T159" t="str" cm="1">
        <f t="array" ref="T159">_xlfn.SWITCH(TRUE,data[[#This Row],[Profit Margin]]&lt;0,"Negative",data[[#This Row],[Profit Margin]]&lt;0.1,"Low",data[[#This Row],[Profit Margin]]&lt;0.2,"Medium","High")</f>
        <v>High</v>
      </c>
    </row>
    <row r="160" spans="1:20" x14ac:dyDescent="0.35">
      <c r="A160">
        <v>159</v>
      </c>
      <c r="B160" s="1" t="s">
        <v>34</v>
      </c>
      <c r="C160" s="1" t="s">
        <v>23</v>
      </c>
      <c r="D160" s="1" t="s">
        <v>39</v>
      </c>
      <c r="E160" s="1" t="s">
        <v>46</v>
      </c>
      <c r="F160">
        <v>689</v>
      </c>
      <c r="G160">
        <v>10</v>
      </c>
      <c r="H160">
        <v>300</v>
      </c>
      <c r="I160">
        <v>6201</v>
      </c>
      <c r="J160">
        <v>172250</v>
      </c>
      <c r="K160" s="2">
        <v>41791</v>
      </c>
      <c r="L160">
        <v>6</v>
      </c>
      <c r="M160" s="1" t="s">
        <v>26</v>
      </c>
      <c r="N160" s="1" t="s">
        <v>78</v>
      </c>
      <c r="O160">
        <v>2014</v>
      </c>
      <c r="P160">
        <v>206700</v>
      </c>
      <c r="Q160">
        <v>200499</v>
      </c>
      <c r="R160">
        <v>28249</v>
      </c>
      <c r="S160" s="22">
        <v>0.14089347079037801</v>
      </c>
      <c r="T160" t="str" cm="1">
        <f t="array" ref="T160">_xlfn.SWITCH(TRUE,data[[#This Row],[Profit Margin]]&lt;0,"Negative",data[[#This Row],[Profit Margin]]&lt;0.1,"Low",data[[#This Row],[Profit Margin]]&lt;0.2,"Medium","High")</f>
        <v>Medium</v>
      </c>
    </row>
    <row r="161" spans="1:20" x14ac:dyDescent="0.35">
      <c r="A161">
        <v>160</v>
      </c>
      <c r="B161" s="1" t="s">
        <v>32</v>
      </c>
      <c r="C161" s="1" t="s">
        <v>23</v>
      </c>
      <c r="D161" s="1" t="s">
        <v>39</v>
      </c>
      <c r="E161" s="1" t="s">
        <v>46</v>
      </c>
      <c r="F161">
        <v>1570</v>
      </c>
      <c r="G161">
        <v>10</v>
      </c>
      <c r="H161">
        <v>125</v>
      </c>
      <c r="I161">
        <v>5887.5</v>
      </c>
      <c r="J161">
        <v>188400</v>
      </c>
      <c r="K161" s="2">
        <v>41791</v>
      </c>
      <c r="L161">
        <v>6</v>
      </c>
      <c r="M161" s="1" t="s">
        <v>26</v>
      </c>
      <c r="N161" s="1" t="s">
        <v>78</v>
      </c>
      <c r="O161">
        <v>2014</v>
      </c>
      <c r="P161">
        <v>196250</v>
      </c>
      <c r="Q161">
        <v>190362.5</v>
      </c>
      <c r="R161">
        <v>1962.5</v>
      </c>
      <c r="S161" s="22">
        <v>1.0309278350515464E-2</v>
      </c>
      <c r="T161" t="str" cm="1">
        <f t="array" ref="T161">_xlfn.SWITCH(TRUE,data[[#This Row],[Profit Margin]]&lt;0,"Negative",data[[#This Row],[Profit Margin]]&lt;0.1,"Low",data[[#This Row],[Profit Margin]]&lt;0.2,"Medium","High")</f>
        <v>Low</v>
      </c>
    </row>
    <row r="162" spans="1:20" x14ac:dyDescent="0.35">
      <c r="A162">
        <v>161</v>
      </c>
      <c r="B162" s="1" t="s">
        <v>31</v>
      </c>
      <c r="C162" s="1" t="s">
        <v>38</v>
      </c>
      <c r="D162" s="1" t="s">
        <v>39</v>
      </c>
      <c r="E162" s="1" t="s">
        <v>46</v>
      </c>
      <c r="F162">
        <v>1369.5</v>
      </c>
      <c r="G162">
        <v>10</v>
      </c>
      <c r="H162">
        <v>12</v>
      </c>
      <c r="I162">
        <v>493.02</v>
      </c>
      <c r="J162">
        <v>4108.5</v>
      </c>
      <c r="K162" s="2">
        <v>41821</v>
      </c>
      <c r="L162">
        <v>7</v>
      </c>
      <c r="M162" s="1" t="s">
        <v>33</v>
      </c>
      <c r="N162" s="1" t="s">
        <v>81</v>
      </c>
      <c r="O162">
        <v>2014</v>
      </c>
      <c r="P162">
        <v>16434</v>
      </c>
      <c r="Q162">
        <v>15940.98</v>
      </c>
      <c r="R162">
        <v>11832.48</v>
      </c>
      <c r="S162" s="22">
        <v>0.74226804123711343</v>
      </c>
      <c r="T162" t="str" cm="1">
        <f t="array" ref="T162">_xlfn.SWITCH(TRUE,data[[#This Row],[Profit Margin]]&lt;0,"Negative",data[[#This Row],[Profit Margin]]&lt;0.1,"Low",data[[#This Row],[Profit Margin]]&lt;0.2,"Medium","High")</f>
        <v>High</v>
      </c>
    </row>
    <row r="163" spans="1:20" x14ac:dyDescent="0.35">
      <c r="A163">
        <v>162</v>
      </c>
      <c r="B163" s="1" t="s">
        <v>32</v>
      </c>
      <c r="C163" s="1" t="s">
        <v>19</v>
      </c>
      <c r="D163" s="1" t="s">
        <v>39</v>
      </c>
      <c r="E163" s="1" t="s">
        <v>46</v>
      </c>
      <c r="F163">
        <v>2009</v>
      </c>
      <c r="G163">
        <v>10</v>
      </c>
      <c r="H163">
        <v>125</v>
      </c>
      <c r="I163">
        <v>7533.75</v>
      </c>
      <c r="J163">
        <v>241080</v>
      </c>
      <c r="K163" s="2">
        <v>41913</v>
      </c>
      <c r="L163">
        <v>10</v>
      </c>
      <c r="M163" s="1" t="s">
        <v>37</v>
      </c>
      <c r="N163" s="1" t="s">
        <v>84</v>
      </c>
      <c r="O163">
        <v>2014</v>
      </c>
      <c r="P163">
        <v>251125</v>
      </c>
      <c r="Q163">
        <v>243591.25</v>
      </c>
      <c r="R163">
        <v>2511.25</v>
      </c>
      <c r="S163" s="22">
        <v>1.0309278350515464E-2</v>
      </c>
      <c r="T163" t="str" cm="1">
        <f t="array" ref="T163">_xlfn.SWITCH(TRUE,data[[#This Row],[Profit Margin]]&lt;0,"Negative",data[[#This Row],[Profit Margin]]&lt;0.1,"Low",data[[#This Row],[Profit Margin]]&lt;0.2,"Medium","High")</f>
        <v>Low</v>
      </c>
    </row>
    <row r="164" spans="1:20" x14ac:dyDescent="0.35">
      <c r="A164">
        <v>163</v>
      </c>
      <c r="B164" s="1" t="s">
        <v>24</v>
      </c>
      <c r="C164" s="1" t="s">
        <v>23</v>
      </c>
      <c r="D164" s="1" t="s">
        <v>39</v>
      </c>
      <c r="E164" s="1" t="s">
        <v>46</v>
      </c>
      <c r="F164">
        <v>1945</v>
      </c>
      <c r="G164">
        <v>10</v>
      </c>
      <c r="H164">
        <v>15</v>
      </c>
      <c r="I164">
        <v>875.25</v>
      </c>
      <c r="J164">
        <v>19450</v>
      </c>
      <c r="K164" s="2">
        <v>41548</v>
      </c>
      <c r="L164">
        <v>10</v>
      </c>
      <c r="M164" s="1" t="s">
        <v>37</v>
      </c>
      <c r="N164" s="1" t="s">
        <v>84</v>
      </c>
      <c r="O164">
        <v>2013</v>
      </c>
      <c r="P164">
        <v>29175</v>
      </c>
      <c r="Q164">
        <v>28299.75</v>
      </c>
      <c r="R164">
        <v>8849.75</v>
      </c>
      <c r="S164" s="22">
        <v>0.3127147766323024</v>
      </c>
      <c r="T164" t="str" cm="1">
        <f t="array" ref="T164">_xlfn.SWITCH(TRUE,data[[#This Row],[Profit Margin]]&lt;0,"Negative",data[[#This Row],[Profit Margin]]&lt;0.1,"Low",data[[#This Row],[Profit Margin]]&lt;0.2,"Medium","High")</f>
        <v>High</v>
      </c>
    </row>
    <row r="165" spans="1:20" x14ac:dyDescent="0.35">
      <c r="A165">
        <v>164</v>
      </c>
      <c r="B165" s="1" t="s">
        <v>32</v>
      </c>
      <c r="C165" s="1" t="s">
        <v>25</v>
      </c>
      <c r="D165" s="1" t="s">
        <v>39</v>
      </c>
      <c r="E165" s="1" t="s">
        <v>46</v>
      </c>
      <c r="F165">
        <v>1287</v>
      </c>
      <c r="G165">
        <v>10</v>
      </c>
      <c r="H165">
        <v>125</v>
      </c>
      <c r="I165">
        <v>4826.25</v>
      </c>
      <c r="J165">
        <v>154440</v>
      </c>
      <c r="K165" s="2">
        <v>41974</v>
      </c>
      <c r="L165">
        <v>12</v>
      </c>
      <c r="M165" s="1" t="s">
        <v>28</v>
      </c>
      <c r="N165" s="1" t="s">
        <v>79</v>
      </c>
      <c r="O165">
        <v>2014</v>
      </c>
      <c r="P165">
        <v>160875</v>
      </c>
      <c r="Q165">
        <v>156048.75</v>
      </c>
      <c r="R165">
        <v>1608.75</v>
      </c>
      <c r="S165" s="22">
        <v>1.0309278350515464E-2</v>
      </c>
      <c r="T165" t="str" cm="1">
        <f t="array" ref="T165">_xlfn.SWITCH(TRUE,data[[#This Row],[Profit Margin]]&lt;0,"Negative",data[[#This Row],[Profit Margin]]&lt;0.1,"Low",data[[#This Row],[Profit Margin]]&lt;0.2,"Medium","High")</f>
        <v>Low</v>
      </c>
    </row>
    <row r="166" spans="1:20" x14ac:dyDescent="0.35">
      <c r="A166">
        <v>165</v>
      </c>
      <c r="B166" s="1" t="s">
        <v>32</v>
      </c>
      <c r="C166" s="1" t="s">
        <v>23</v>
      </c>
      <c r="D166" s="1" t="s">
        <v>39</v>
      </c>
      <c r="E166" s="1" t="s">
        <v>46</v>
      </c>
      <c r="F166">
        <v>1706</v>
      </c>
      <c r="G166">
        <v>10</v>
      </c>
      <c r="H166">
        <v>125</v>
      </c>
      <c r="I166">
        <v>6397.5</v>
      </c>
      <c r="J166">
        <v>204720</v>
      </c>
      <c r="K166" s="2">
        <v>41974</v>
      </c>
      <c r="L166">
        <v>12</v>
      </c>
      <c r="M166" s="1" t="s">
        <v>28</v>
      </c>
      <c r="N166" s="1" t="s">
        <v>79</v>
      </c>
      <c r="O166">
        <v>2014</v>
      </c>
      <c r="P166">
        <v>213250</v>
      </c>
      <c r="Q166">
        <v>206852.5</v>
      </c>
      <c r="R166">
        <v>2132.5</v>
      </c>
      <c r="S166" s="22">
        <v>1.0309278350515464E-2</v>
      </c>
      <c r="T166" t="str" cm="1">
        <f t="array" ref="T166">_xlfn.SWITCH(TRUE,data[[#This Row],[Profit Margin]]&lt;0,"Negative",data[[#This Row],[Profit Margin]]&lt;0.1,"Low",data[[#This Row],[Profit Margin]]&lt;0.2,"Medium","High")</f>
        <v>Low</v>
      </c>
    </row>
    <row r="167" spans="1:20" x14ac:dyDescent="0.35">
      <c r="A167">
        <v>166</v>
      </c>
      <c r="B167" s="1" t="s">
        <v>32</v>
      </c>
      <c r="C167" s="1" t="s">
        <v>19</v>
      </c>
      <c r="D167" s="1" t="s">
        <v>42</v>
      </c>
      <c r="E167" s="1" t="s">
        <v>46</v>
      </c>
      <c r="F167">
        <v>2009</v>
      </c>
      <c r="G167">
        <v>120</v>
      </c>
      <c r="H167">
        <v>125</v>
      </c>
      <c r="I167">
        <v>7533.75</v>
      </c>
      <c r="J167">
        <v>241080</v>
      </c>
      <c r="K167" s="2">
        <v>41913</v>
      </c>
      <c r="L167">
        <v>10</v>
      </c>
      <c r="M167" s="1" t="s">
        <v>37</v>
      </c>
      <c r="N167" s="1" t="s">
        <v>84</v>
      </c>
      <c r="O167">
        <v>2014</v>
      </c>
      <c r="P167">
        <v>251125</v>
      </c>
      <c r="Q167">
        <v>243591.25</v>
      </c>
      <c r="R167">
        <v>2511.25</v>
      </c>
      <c r="S167" s="22">
        <v>1.0309278350515464E-2</v>
      </c>
      <c r="T167" t="str" cm="1">
        <f t="array" ref="T167">_xlfn.SWITCH(TRUE,data[[#This Row],[Profit Margin]]&lt;0,"Negative",data[[#This Row],[Profit Margin]]&lt;0.1,"Low",data[[#This Row],[Profit Margin]]&lt;0.2,"Medium","High")</f>
        <v>Low</v>
      </c>
    </row>
    <row r="168" spans="1:20" x14ac:dyDescent="0.35">
      <c r="A168">
        <v>167</v>
      </c>
      <c r="B168" s="1" t="s">
        <v>34</v>
      </c>
      <c r="C168" s="1" t="s">
        <v>38</v>
      </c>
      <c r="D168" s="1" t="s">
        <v>43</v>
      </c>
      <c r="E168" s="1" t="s">
        <v>46</v>
      </c>
      <c r="F168">
        <v>2844</v>
      </c>
      <c r="G168">
        <v>250</v>
      </c>
      <c r="H168">
        <v>300</v>
      </c>
      <c r="I168">
        <v>25596</v>
      </c>
      <c r="J168">
        <v>711000</v>
      </c>
      <c r="K168" s="2">
        <v>41671</v>
      </c>
      <c r="L168">
        <v>2</v>
      </c>
      <c r="M168" s="1" t="s">
        <v>40</v>
      </c>
      <c r="N168" s="1" t="s">
        <v>85</v>
      </c>
      <c r="O168">
        <v>2014</v>
      </c>
      <c r="P168">
        <v>853200</v>
      </c>
      <c r="Q168">
        <v>827604</v>
      </c>
      <c r="R168">
        <v>116604</v>
      </c>
      <c r="S168" s="22">
        <v>0.14089347079037801</v>
      </c>
      <c r="T168" t="str" cm="1">
        <f t="array" ref="T168">_xlfn.SWITCH(TRUE,data[[#This Row],[Profit Margin]]&lt;0,"Negative",data[[#This Row],[Profit Margin]]&lt;0.1,"Low",data[[#This Row],[Profit Margin]]&lt;0.2,"Medium","High")</f>
        <v>Medium</v>
      </c>
    </row>
    <row r="169" spans="1:20" x14ac:dyDescent="0.35">
      <c r="A169">
        <v>168</v>
      </c>
      <c r="B169" s="1" t="s">
        <v>31</v>
      </c>
      <c r="C169" s="1" t="s">
        <v>27</v>
      </c>
      <c r="D169" s="1" t="s">
        <v>43</v>
      </c>
      <c r="E169" s="1" t="s">
        <v>46</v>
      </c>
      <c r="F169">
        <v>1916</v>
      </c>
      <c r="G169">
        <v>250</v>
      </c>
      <c r="H169">
        <v>12</v>
      </c>
      <c r="I169">
        <v>689.76</v>
      </c>
      <c r="J169">
        <v>5748</v>
      </c>
      <c r="K169" s="2">
        <v>41730</v>
      </c>
      <c r="L169">
        <v>4</v>
      </c>
      <c r="M169" s="1" t="s">
        <v>44</v>
      </c>
      <c r="N169" s="1" t="s">
        <v>87</v>
      </c>
      <c r="O169">
        <v>2014</v>
      </c>
      <c r="P169">
        <v>22992</v>
      </c>
      <c r="Q169">
        <v>22302.240000000002</v>
      </c>
      <c r="R169">
        <v>16554.240000000002</v>
      </c>
      <c r="S169" s="22">
        <v>0.74226804123711343</v>
      </c>
      <c r="T169" t="str" cm="1">
        <f t="array" ref="T169">_xlfn.SWITCH(TRUE,data[[#This Row],[Profit Margin]]&lt;0,"Negative",data[[#This Row],[Profit Margin]]&lt;0.1,"Low",data[[#This Row],[Profit Margin]]&lt;0.2,"Medium","High")</f>
        <v>High</v>
      </c>
    </row>
    <row r="170" spans="1:20" x14ac:dyDescent="0.35">
      <c r="A170">
        <v>169</v>
      </c>
      <c r="B170" s="1" t="s">
        <v>32</v>
      </c>
      <c r="C170" s="1" t="s">
        <v>23</v>
      </c>
      <c r="D170" s="1" t="s">
        <v>43</v>
      </c>
      <c r="E170" s="1" t="s">
        <v>46</v>
      </c>
      <c r="F170">
        <v>1570</v>
      </c>
      <c r="G170">
        <v>250</v>
      </c>
      <c r="H170">
        <v>125</v>
      </c>
      <c r="I170">
        <v>5887.5</v>
      </c>
      <c r="J170">
        <v>188400</v>
      </c>
      <c r="K170" s="2">
        <v>41791</v>
      </c>
      <c r="L170">
        <v>6</v>
      </c>
      <c r="M170" s="1" t="s">
        <v>26</v>
      </c>
      <c r="N170" s="1" t="s">
        <v>78</v>
      </c>
      <c r="O170">
        <v>2014</v>
      </c>
      <c r="P170">
        <v>196250</v>
      </c>
      <c r="Q170">
        <v>190362.5</v>
      </c>
      <c r="R170">
        <v>1962.5</v>
      </c>
      <c r="S170" s="22">
        <v>1.0309278350515464E-2</v>
      </c>
      <c r="T170" t="str" cm="1">
        <f t="array" ref="T170">_xlfn.SWITCH(TRUE,data[[#This Row],[Profit Margin]]&lt;0,"Negative",data[[#This Row],[Profit Margin]]&lt;0.1,"Low",data[[#This Row],[Profit Margin]]&lt;0.2,"Medium","High")</f>
        <v>Low</v>
      </c>
    </row>
    <row r="171" spans="1:20" x14ac:dyDescent="0.35">
      <c r="A171">
        <v>170</v>
      </c>
      <c r="B171" s="1" t="s">
        <v>34</v>
      </c>
      <c r="C171" s="1" t="s">
        <v>19</v>
      </c>
      <c r="D171" s="1" t="s">
        <v>43</v>
      </c>
      <c r="E171" s="1" t="s">
        <v>46</v>
      </c>
      <c r="F171">
        <v>1874</v>
      </c>
      <c r="G171">
        <v>250</v>
      </c>
      <c r="H171">
        <v>300</v>
      </c>
      <c r="I171">
        <v>16866</v>
      </c>
      <c r="J171">
        <v>468500</v>
      </c>
      <c r="K171" s="2">
        <v>41852</v>
      </c>
      <c r="L171">
        <v>8</v>
      </c>
      <c r="M171" s="1" t="s">
        <v>35</v>
      </c>
      <c r="N171" s="1" t="s">
        <v>82</v>
      </c>
      <c r="O171">
        <v>2014</v>
      </c>
      <c r="P171">
        <v>562200</v>
      </c>
      <c r="Q171">
        <v>545334</v>
      </c>
      <c r="R171">
        <v>76834</v>
      </c>
      <c r="S171" s="22">
        <v>0.14089347079037801</v>
      </c>
      <c r="T171" t="str" cm="1">
        <f t="array" ref="T171">_xlfn.SWITCH(TRUE,data[[#This Row],[Profit Margin]]&lt;0,"Negative",data[[#This Row],[Profit Margin]]&lt;0.1,"Low",data[[#This Row],[Profit Margin]]&lt;0.2,"Medium","High")</f>
        <v>Medium</v>
      </c>
    </row>
    <row r="172" spans="1:20" x14ac:dyDescent="0.35">
      <c r="A172">
        <v>171</v>
      </c>
      <c r="B172" s="1" t="s">
        <v>18</v>
      </c>
      <c r="C172" s="1" t="s">
        <v>27</v>
      </c>
      <c r="D172" s="1" t="s">
        <v>43</v>
      </c>
      <c r="E172" s="1" t="s">
        <v>46</v>
      </c>
      <c r="F172">
        <v>1642</v>
      </c>
      <c r="G172">
        <v>250</v>
      </c>
      <c r="H172">
        <v>350</v>
      </c>
      <c r="I172">
        <v>17241</v>
      </c>
      <c r="J172">
        <v>426920</v>
      </c>
      <c r="K172" s="2">
        <v>41852</v>
      </c>
      <c r="L172">
        <v>8</v>
      </c>
      <c r="M172" s="1" t="s">
        <v>35</v>
      </c>
      <c r="N172" s="1" t="s">
        <v>82</v>
      </c>
      <c r="O172">
        <v>2014</v>
      </c>
      <c r="P172">
        <v>574700</v>
      </c>
      <c r="Q172">
        <v>557459</v>
      </c>
      <c r="R172">
        <v>130539</v>
      </c>
      <c r="S172" s="22">
        <v>0.2341678939617084</v>
      </c>
      <c r="T172" t="str" cm="1">
        <f t="array" ref="T172">_xlfn.SWITCH(TRUE,data[[#This Row],[Profit Margin]]&lt;0,"Negative",data[[#This Row],[Profit Margin]]&lt;0.1,"Low",data[[#This Row],[Profit Margin]]&lt;0.2,"Medium","High")</f>
        <v>High</v>
      </c>
    </row>
    <row r="173" spans="1:20" x14ac:dyDescent="0.35">
      <c r="A173">
        <v>172</v>
      </c>
      <c r="B173" s="1" t="s">
        <v>24</v>
      </c>
      <c r="C173" s="1" t="s">
        <v>23</v>
      </c>
      <c r="D173" s="1" t="s">
        <v>43</v>
      </c>
      <c r="E173" s="1" t="s">
        <v>46</v>
      </c>
      <c r="F173">
        <v>1945</v>
      </c>
      <c r="G173">
        <v>250</v>
      </c>
      <c r="H173">
        <v>15</v>
      </c>
      <c r="I173">
        <v>875.25</v>
      </c>
      <c r="J173">
        <v>19450</v>
      </c>
      <c r="K173" s="2">
        <v>41548</v>
      </c>
      <c r="L173">
        <v>10</v>
      </c>
      <c r="M173" s="1" t="s">
        <v>37</v>
      </c>
      <c r="N173" s="1" t="s">
        <v>84</v>
      </c>
      <c r="O173">
        <v>2013</v>
      </c>
      <c r="P173">
        <v>29175</v>
      </c>
      <c r="Q173">
        <v>28299.75</v>
      </c>
      <c r="R173">
        <v>8849.75</v>
      </c>
      <c r="S173" s="22">
        <v>0.3127147766323024</v>
      </c>
      <c r="T173" t="str" cm="1">
        <f t="array" ref="T173">_xlfn.SWITCH(TRUE,data[[#This Row],[Profit Margin]]&lt;0,"Negative",data[[#This Row],[Profit Margin]]&lt;0.1,"Low",data[[#This Row],[Profit Margin]]&lt;0.2,"Medium","High")</f>
        <v>High</v>
      </c>
    </row>
    <row r="174" spans="1:20" x14ac:dyDescent="0.35">
      <c r="A174">
        <v>173</v>
      </c>
      <c r="B174" s="1" t="s">
        <v>18</v>
      </c>
      <c r="C174" s="1" t="s">
        <v>19</v>
      </c>
      <c r="D174" s="1" t="s">
        <v>20</v>
      </c>
      <c r="E174" s="1" t="s">
        <v>46</v>
      </c>
      <c r="F174">
        <v>831</v>
      </c>
      <c r="G174">
        <v>3</v>
      </c>
      <c r="H174">
        <v>20</v>
      </c>
      <c r="I174">
        <v>498.6</v>
      </c>
      <c r="J174">
        <v>8310</v>
      </c>
      <c r="K174" s="2">
        <v>41760</v>
      </c>
      <c r="L174">
        <v>5</v>
      </c>
      <c r="M174" s="1" t="s">
        <v>47</v>
      </c>
      <c r="N174" s="1" t="s">
        <v>47</v>
      </c>
      <c r="O174">
        <v>2014</v>
      </c>
      <c r="P174">
        <v>16620</v>
      </c>
      <c r="Q174">
        <v>16121.4</v>
      </c>
      <c r="R174">
        <v>7811.4</v>
      </c>
      <c r="S174" s="22">
        <v>0.4845360824742268</v>
      </c>
      <c r="T174" t="str" cm="1">
        <f t="array" ref="T174">_xlfn.SWITCH(TRUE,data[[#This Row],[Profit Margin]]&lt;0,"Negative",data[[#This Row],[Profit Margin]]&lt;0.1,"Low",data[[#This Row],[Profit Margin]]&lt;0.2,"Medium","High")</f>
        <v>High</v>
      </c>
    </row>
    <row r="175" spans="1:20" x14ac:dyDescent="0.35">
      <c r="A175">
        <v>174</v>
      </c>
      <c r="B175" s="1" t="s">
        <v>18</v>
      </c>
      <c r="C175" s="1" t="s">
        <v>27</v>
      </c>
      <c r="D175" s="1" t="s">
        <v>39</v>
      </c>
      <c r="E175" s="1" t="s">
        <v>46</v>
      </c>
      <c r="F175">
        <v>1760</v>
      </c>
      <c r="G175">
        <v>10</v>
      </c>
      <c r="H175">
        <v>7</v>
      </c>
      <c r="I175">
        <v>369.6</v>
      </c>
      <c r="J175">
        <v>8800</v>
      </c>
      <c r="K175" s="2">
        <v>41518</v>
      </c>
      <c r="L175">
        <v>9</v>
      </c>
      <c r="M175" s="1" t="s">
        <v>36</v>
      </c>
      <c r="N175" s="1" t="s">
        <v>83</v>
      </c>
      <c r="O175">
        <v>2013</v>
      </c>
      <c r="P175">
        <v>12320</v>
      </c>
      <c r="Q175">
        <v>11950.4</v>
      </c>
      <c r="R175">
        <v>3150.3999999999996</v>
      </c>
      <c r="S175" s="22">
        <v>0.2636229749631811</v>
      </c>
      <c r="T175" t="str" cm="1">
        <f t="array" ref="T175">_xlfn.SWITCH(TRUE,data[[#This Row],[Profit Margin]]&lt;0,"Negative",data[[#This Row],[Profit Margin]]&lt;0.1,"Low",data[[#This Row],[Profit Margin]]&lt;0.2,"Medium","High")</f>
        <v>High</v>
      </c>
    </row>
    <row r="176" spans="1:20" x14ac:dyDescent="0.35">
      <c r="A176">
        <v>175</v>
      </c>
      <c r="B176" s="1" t="s">
        <v>18</v>
      </c>
      <c r="C176" s="1" t="s">
        <v>19</v>
      </c>
      <c r="D176" s="1" t="s">
        <v>42</v>
      </c>
      <c r="E176" s="1" t="s">
        <v>46</v>
      </c>
      <c r="F176">
        <v>3850.5</v>
      </c>
      <c r="G176">
        <v>120</v>
      </c>
      <c r="H176">
        <v>20</v>
      </c>
      <c r="I176">
        <v>2310.3000000000002</v>
      </c>
      <c r="J176">
        <v>38505</v>
      </c>
      <c r="K176" s="2">
        <v>41730</v>
      </c>
      <c r="L176">
        <v>4</v>
      </c>
      <c r="M176" s="1" t="s">
        <v>44</v>
      </c>
      <c r="N176" s="1" t="s">
        <v>87</v>
      </c>
      <c r="O176">
        <v>2014</v>
      </c>
      <c r="P176">
        <v>77010</v>
      </c>
      <c r="Q176">
        <v>74699.7</v>
      </c>
      <c r="R176">
        <v>36194.699999999997</v>
      </c>
      <c r="S176" s="22">
        <v>0.4845360824742268</v>
      </c>
      <c r="T176" t="str" cm="1">
        <f t="array" ref="T176">_xlfn.SWITCH(TRUE,data[[#This Row],[Profit Margin]]&lt;0,"Negative",data[[#This Row],[Profit Margin]]&lt;0.1,"Low",data[[#This Row],[Profit Margin]]&lt;0.2,"Medium","High")</f>
        <v>High</v>
      </c>
    </row>
    <row r="177" spans="1:20" x14ac:dyDescent="0.35">
      <c r="A177">
        <v>176</v>
      </c>
      <c r="B177" s="1" t="s">
        <v>31</v>
      </c>
      <c r="C177" s="1" t="s">
        <v>23</v>
      </c>
      <c r="D177" s="1" t="s">
        <v>43</v>
      </c>
      <c r="E177" s="1" t="s">
        <v>46</v>
      </c>
      <c r="F177">
        <v>2479</v>
      </c>
      <c r="G177">
        <v>250</v>
      </c>
      <c r="H177">
        <v>12</v>
      </c>
      <c r="I177">
        <v>892.44</v>
      </c>
      <c r="J177">
        <v>7437</v>
      </c>
      <c r="K177" s="2">
        <v>41640</v>
      </c>
      <c r="L177">
        <v>1</v>
      </c>
      <c r="M177" s="1" t="s">
        <v>22</v>
      </c>
      <c r="N177" s="1" t="s">
        <v>77</v>
      </c>
      <c r="O177">
        <v>2014</v>
      </c>
      <c r="P177">
        <v>29748</v>
      </c>
      <c r="Q177">
        <v>28855.56</v>
      </c>
      <c r="R177">
        <v>21418.560000000001</v>
      </c>
      <c r="S177" s="22">
        <v>0.74226804123711343</v>
      </c>
      <c r="T177" t="str" cm="1">
        <f t="array" ref="T177">_xlfn.SWITCH(TRUE,data[[#This Row],[Profit Margin]]&lt;0,"Negative",data[[#This Row],[Profit Margin]]&lt;0.1,"Low",data[[#This Row],[Profit Margin]]&lt;0.2,"Medium","High")</f>
        <v>High</v>
      </c>
    </row>
    <row r="178" spans="1:20" x14ac:dyDescent="0.35">
      <c r="A178">
        <v>177</v>
      </c>
      <c r="B178" s="1" t="s">
        <v>24</v>
      </c>
      <c r="C178" s="1" t="s">
        <v>27</v>
      </c>
      <c r="D178" s="1" t="s">
        <v>29</v>
      </c>
      <c r="E178" s="1" t="s">
        <v>46</v>
      </c>
      <c r="F178">
        <v>2031</v>
      </c>
      <c r="G178">
        <v>5</v>
      </c>
      <c r="H178">
        <v>15</v>
      </c>
      <c r="I178">
        <v>1218.5999999999999</v>
      </c>
      <c r="J178">
        <v>20310</v>
      </c>
      <c r="K178" s="2">
        <v>41913</v>
      </c>
      <c r="L178">
        <v>10</v>
      </c>
      <c r="M178" s="1" t="s">
        <v>37</v>
      </c>
      <c r="N178" s="1" t="s">
        <v>84</v>
      </c>
      <c r="O178">
        <v>2014</v>
      </c>
      <c r="P178">
        <v>30465</v>
      </c>
      <c r="Q178">
        <v>29246.400000000001</v>
      </c>
      <c r="R178">
        <v>8936.4000000000015</v>
      </c>
      <c r="S178" s="22">
        <v>0.30555555555555558</v>
      </c>
      <c r="T178" t="str" cm="1">
        <f t="array" ref="T178">_xlfn.SWITCH(TRUE,data[[#This Row],[Profit Margin]]&lt;0,"Negative",data[[#This Row],[Profit Margin]]&lt;0.1,"Low",data[[#This Row],[Profit Margin]]&lt;0.2,"Medium","High")</f>
        <v>High</v>
      </c>
    </row>
    <row r="179" spans="1:20" x14ac:dyDescent="0.35">
      <c r="A179">
        <v>178</v>
      </c>
      <c r="B179" s="1" t="s">
        <v>24</v>
      </c>
      <c r="C179" s="1" t="s">
        <v>27</v>
      </c>
      <c r="D179" s="1" t="s">
        <v>39</v>
      </c>
      <c r="E179" s="1" t="s">
        <v>46</v>
      </c>
      <c r="F179">
        <v>2031</v>
      </c>
      <c r="G179">
        <v>10</v>
      </c>
      <c r="H179">
        <v>15</v>
      </c>
      <c r="I179">
        <v>1218.5999999999999</v>
      </c>
      <c r="J179">
        <v>20310</v>
      </c>
      <c r="K179" s="2">
        <v>41913</v>
      </c>
      <c r="L179">
        <v>10</v>
      </c>
      <c r="M179" s="1" t="s">
        <v>37</v>
      </c>
      <c r="N179" s="1" t="s">
        <v>84</v>
      </c>
      <c r="O179">
        <v>2014</v>
      </c>
      <c r="P179">
        <v>30465</v>
      </c>
      <c r="Q179">
        <v>29246.400000000001</v>
      </c>
      <c r="R179">
        <v>8936.4000000000015</v>
      </c>
      <c r="S179" s="22">
        <v>0.30555555555555558</v>
      </c>
      <c r="T179" t="str" cm="1">
        <f t="array" ref="T179">_xlfn.SWITCH(TRUE,data[[#This Row],[Profit Margin]]&lt;0,"Negative",data[[#This Row],[Profit Margin]]&lt;0.1,"Low",data[[#This Row],[Profit Margin]]&lt;0.2,"Medium","High")</f>
        <v>High</v>
      </c>
    </row>
    <row r="180" spans="1:20" x14ac:dyDescent="0.35">
      <c r="A180">
        <v>179</v>
      </c>
      <c r="B180" s="1" t="s">
        <v>24</v>
      </c>
      <c r="C180" s="1" t="s">
        <v>25</v>
      </c>
      <c r="D180" s="1" t="s">
        <v>39</v>
      </c>
      <c r="E180" s="1" t="s">
        <v>46</v>
      </c>
      <c r="F180">
        <v>2261</v>
      </c>
      <c r="G180">
        <v>10</v>
      </c>
      <c r="H180">
        <v>15</v>
      </c>
      <c r="I180">
        <v>1356.6</v>
      </c>
      <c r="J180">
        <v>22610</v>
      </c>
      <c r="K180" s="2">
        <v>41609</v>
      </c>
      <c r="L180">
        <v>12</v>
      </c>
      <c r="M180" s="1" t="s">
        <v>28</v>
      </c>
      <c r="N180" s="1" t="s">
        <v>79</v>
      </c>
      <c r="O180">
        <v>2013</v>
      </c>
      <c r="P180">
        <v>33915</v>
      </c>
      <c r="Q180">
        <v>32558.400000000001</v>
      </c>
      <c r="R180">
        <v>9948.4000000000015</v>
      </c>
      <c r="S180" s="22">
        <v>0.30555555555555558</v>
      </c>
      <c r="T180" t="str" cm="1">
        <f t="array" ref="T180">_xlfn.SWITCH(TRUE,data[[#This Row],[Profit Margin]]&lt;0,"Negative",data[[#This Row],[Profit Margin]]&lt;0.1,"Low",data[[#This Row],[Profit Margin]]&lt;0.2,"Medium","High")</f>
        <v>High</v>
      </c>
    </row>
    <row r="181" spans="1:20" x14ac:dyDescent="0.35">
      <c r="A181">
        <v>180</v>
      </c>
      <c r="B181" s="1" t="s">
        <v>18</v>
      </c>
      <c r="C181" s="1" t="s">
        <v>38</v>
      </c>
      <c r="D181" s="1" t="s">
        <v>42</v>
      </c>
      <c r="E181" s="1" t="s">
        <v>46</v>
      </c>
      <c r="F181">
        <v>736</v>
      </c>
      <c r="G181">
        <v>120</v>
      </c>
      <c r="H181">
        <v>20</v>
      </c>
      <c r="I181">
        <v>588.79999999999995</v>
      </c>
      <c r="J181">
        <v>7360</v>
      </c>
      <c r="K181" s="2">
        <v>41518</v>
      </c>
      <c r="L181">
        <v>9</v>
      </c>
      <c r="M181" s="1" t="s">
        <v>36</v>
      </c>
      <c r="N181" s="1" t="s">
        <v>83</v>
      </c>
      <c r="O181">
        <v>2013</v>
      </c>
      <c r="P181">
        <v>14720</v>
      </c>
      <c r="Q181">
        <v>14131.2</v>
      </c>
      <c r="R181">
        <v>6771.2000000000007</v>
      </c>
      <c r="S181" s="22">
        <v>0.47916666666666669</v>
      </c>
      <c r="T181" t="str" cm="1">
        <f t="array" ref="T181">_xlfn.SWITCH(TRUE,data[[#This Row],[Profit Margin]]&lt;0,"Negative",data[[#This Row],[Profit Margin]]&lt;0.1,"Low",data[[#This Row],[Profit Margin]]&lt;0.2,"Medium","High")</f>
        <v>High</v>
      </c>
    </row>
    <row r="182" spans="1:20" x14ac:dyDescent="0.35">
      <c r="A182">
        <v>181</v>
      </c>
      <c r="B182" s="1" t="s">
        <v>18</v>
      </c>
      <c r="C182" s="1" t="s">
        <v>19</v>
      </c>
      <c r="D182" s="1" t="s">
        <v>20</v>
      </c>
      <c r="E182" s="1" t="s">
        <v>46</v>
      </c>
      <c r="F182">
        <v>2851</v>
      </c>
      <c r="G182">
        <v>3</v>
      </c>
      <c r="H182">
        <v>7</v>
      </c>
      <c r="I182">
        <v>798.28</v>
      </c>
      <c r="J182">
        <v>14255</v>
      </c>
      <c r="K182" s="2">
        <v>41548</v>
      </c>
      <c r="L182">
        <v>10</v>
      </c>
      <c r="M182" s="1" t="s">
        <v>37</v>
      </c>
      <c r="N182" s="1" t="s">
        <v>84</v>
      </c>
      <c r="O182">
        <v>2013</v>
      </c>
      <c r="P182">
        <v>19957</v>
      </c>
      <c r="Q182">
        <v>19158.72</v>
      </c>
      <c r="R182">
        <v>4903.7200000000012</v>
      </c>
      <c r="S182" s="22">
        <v>0.25595238095238099</v>
      </c>
      <c r="T182" t="str" cm="1">
        <f t="array" ref="T182">_xlfn.SWITCH(TRUE,data[[#This Row],[Profit Margin]]&lt;0,"Negative",data[[#This Row],[Profit Margin]]&lt;0.1,"Low",data[[#This Row],[Profit Margin]]&lt;0.2,"Medium","High")</f>
        <v>High</v>
      </c>
    </row>
    <row r="183" spans="1:20" x14ac:dyDescent="0.35">
      <c r="A183">
        <v>182</v>
      </c>
      <c r="B183" s="1" t="s">
        <v>34</v>
      </c>
      <c r="C183" s="1" t="s">
        <v>23</v>
      </c>
      <c r="D183" s="1" t="s">
        <v>20</v>
      </c>
      <c r="E183" s="1" t="s">
        <v>46</v>
      </c>
      <c r="F183">
        <v>2021</v>
      </c>
      <c r="G183">
        <v>3</v>
      </c>
      <c r="H183">
        <v>300</v>
      </c>
      <c r="I183">
        <v>24252</v>
      </c>
      <c r="J183">
        <v>505250</v>
      </c>
      <c r="K183" s="2">
        <v>41913</v>
      </c>
      <c r="L183">
        <v>10</v>
      </c>
      <c r="M183" s="1" t="s">
        <v>37</v>
      </c>
      <c r="N183" s="1" t="s">
        <v>84</v>
      </c>
      <c r="O183">
        <v>2014</v>
      </c>
      <c r="P183">
        <v>606300</v>
      </c>
      <c r="Q183">
        <v>582048</v>
      </c>
      <c r="R183">
        <v>76798</v>
      </c>
      <c r="S183" s="22">
        <v>0.13194444444444445</v>
      </c>
      <c r="T183" t="str" cm="1">
        <f t="array" ref="T183">_xlfn.SWITCH(TRUE,data[[#This Row],[Profit Margin]]&lt;0,"Negative",data[[#This Row],[Profit Margin]]&lt;0.1,"Low",data[[#This Row],[Profit Margin]]&lt;0.2,"Medium","High")</f>
        <v>Medium</v>
      </c>
    </row>
    <row r="184" spans="1:20" x14ac:dyDescent="0.35">
      <c r="A184">
        <v>183</v>
      </c>
      <c r="B184" s="1" t="s">
        <v>18</v>
      </c>
      <c r="C184" s="1" t="s">
        <v>38</v>
      </c>
      <c r="D184" s="1" t="s">
        <v>20</v>
      </c>
      <c r="E184" s="1" t="s">
        <v>46</v>
      </c>
      <c r="F184">
        <v>274</v>
      </c>
      <c r="G184">
        <v>3</v>
      </c>
      <c r="H184">
        <v>350</v>
      </c>
      <c r="I184">
        <v>3836</v>
      </c>
      <c r="J184">
        <v>71240</v>
      </c>
      <c r="K184" s="2">
        <v>41974</v>
      </c>
      <c r="L184">
        <v>12</v>
      </c>
      <c r="M184" s="1" t="s">
        <v>28</v>
      </c>
      <c r="N184" s="1" t="s">
        <v>79</v>
      </c>
      <c r="O184">
        <v>2014</v>
      </c>
      <c r="P184">
        <v>95900</v>
      </c>
      <c r="Q184">
        <v>92064</v>
      </c>
      <c r="R184">
        <v>20824</v>
      </c>
      <c r="S184" s="22">
        <v>0.22619047619047619</v>
      </c>
      <c r="T184" t="str" cm="1">
        <f t="array" ref="T184">_xlfn.SWITCH(TRUE,data[[#This Row],[Profit Margin]]&lt;0,"Negative",data[[#This Row],[Profit Margin]]&lt;0.1,"Low",data[[#This Row],[Profit Margin]]&lt;0.2,"Medium","High")</f>
        <v>High</v>
      </c>
    </row>
    <row r="185" spans="1:20" x14ac:dyDescent="0.35">
      <c r="A185">
        <v>184</v>
      </c>
      <c r="B185" s="1" t="s">
        <v>24</v>
      </c>
      <c r="C185" s="1" t="s">
        <v>19</v>
      </c>
      <c r="D185" s="1" t="s">
        <v>29</v>
      </c>
      <c r="E185" s="1" t="s">
        <v>46</v>
      </c>
      <c r="F185">
        <v>1967</v>
      </c>
      <c r="G185">
        <v>5</v>
      </c>
      <c r="H185">
        <v>15</v>
      </c>
      <c r="I185">
        <v>1180.2</v>
      </c>
      <c r="J185">
        <v>19670</v>
      </c>
      <c r="K185" s="2">
        <v>41699</v>
      </c>
      <c r="L185">
        <v>3</v>
      </c>
      <c r="M185" s="1" t="s">
        <v>30</v>
      </c>
      <c r="N185" s="1" t="s">
        <v>80</v>
      </c>
      <c r="O185">
        <v>2014</v>
      </c>
      <c r="P185">
        <v>29505</v>
      </c>
      <c r="Q185">
        <v>28324.799999999999</v>
      </c>
      <c r="R185">
        <v>8654.7999999999993</v>
      </c>
      <c r="S185" s="22">
        <v>0.30555555555555552</v>
      </c>
      <c r="T185" t="str" cm="1">
        <f t="array" ref="T185">_xlfn.SWITCH(TRUE,data[[#This Row],[Profit Margin]]&lt;0,"Negative",data[[#This Row],[Profit Margin]]&lt;0.1,"Low",data[[#This Row],[Profit Margin]]&lt;0.2,"Medium","High")</f>
        <v>High</v>
      </c>
    </row>
    <row r="186" spans="1:20" x14ac:dyDescent="0.35">
      <c r="A186">
        <v>185</v>
      </c>
      <c r="B186" s="1" t="s">
        <v>34</v>
      </c>
      <c r="C186" s="1" t="s">
        <v>23</v>
      </c>
      <c r="D186" s="1" t="s">
        <v>29</v>
      </c>
      <c r="E186" s="1" t="s">
        <v>46</v>
      </c>
      <c r="F186">
        <v>1859</v>
      </c>
      <c r="G186">
        <v>5</v>
      </c>
      <c r="H186">
        <v>300</v>
      </c>
      <c r="I186">
        <v>22308</v>
      </c>
      <c r="J186">
        <v>464750</v>
      </c>
      <c r="K186" s="2">
        <v>41852</v>
      </c>
      <c r="L186">
        <v>8</v>
      </c>
      <c r="M186" s="1" t="s">
        <v>35</v>
      </c>
      <c r="N186" s="1" t="s">
        <v>82</v>
      </c>
      <c r="O186">
        <v>2014</v>
      </c>
      <c r="P186">
        <v>557700</v>
      </c>
      <c r="Q186">
        <v>535392</v>
      </c>
      <c r="R186">
        <v>70642</v>
      </c>
      <c r="S186" s="22">
        <v>0.13194444444444445</v>
      </c>
      <c r="T186" t="str" cm="1">
        <f t="array" ref="T186">_xlfn.SWITCH(TRUE,data[[#This Row],[Profit Margin]]&lt;0,"Negative",data[[#This Row],[Profit Margin]]&lt;0.1,"Low",data[[#This Row],[Profit Margin]]&lt;0.2,"Medium","High")</f>
        <v>Medium</v>
      </c>
    </row>
    <row r="187" spans="1:20" x14ac:dyDescent="0.35">
      <c r="A187">
        <v>186</v>
      </c>
      <c r="B187" s="1" t="s">
        <v>18</v>
      </c>
      <c r="C187" s="1" t="s">
        <v>19</v>
      </c>
      <c r="D187" s="1" t="s">
        <v>29</v>
      </c>
      <c r="E187" s="1" t="s">
        <v>46</v>
      </c>
      <c r="F187">
        <v>2851</v>
      </c>
      <c r="G187">
        <v>5</v>
      </c>
      <c r="H187">
        <v>7</v>
      </c>
      <c r="I187">
        <v>798.28</v>
      </c>
      <c r="J187">
        <v>14255</v>
      </c>
      <c r="K187" s="2">
        <v>41548</v>
      </c>
      <c r="L187">
        <v>10</v>
      </c>
      <c r="M187" s="1" t="s">
        <v>37</v>
      </c>
      <c r="N187" s="1" t="s">
        <v>84</v>
      </c>
      <c r="O187">
        <v>2013</v>
      </c>
      <c r="P187">
        <v>19957</v>
      </c>
      <c r="Q187">
        <v>19158.72</v>
      </c>
      <c r="R187">
        <v>4903.7200000000012</v>
      </c>
      <c r="S187" s="22">
        <v>0.25595238095238099</v>
      </c>
      <c r="T187" t="str" cm="1">
        <f t="array" ref="T187">_xlfn.SWITCH(TRUE,data[[#This Row],[Profit Margin]]&lt;0,"Negative",data[[#This Row],[Profit Margin]]&lt;0.1,"Low",data[[#This Row],[Profit Margin]]&lt;0.2,"Medium","High")</f>
        <v>High</v>
      </c>
    </row>
    <row r="188" spans="1:20" x14ac:dyDescent="0.35">
      <c r="A188">
        <v>187</v>
      </c>
      <c r="B188" s="1" t="s">
        <v>34</v>
      </c>
      <c r="C188" s="1" t="s">
        <v>23</v>
      </c>
      <c r="D188" s="1" t="s">
        <v>29</v>
      </c>
      <c r="E188" s="1" t="s">
        <v>46</v>
      </c>
      <c r="F188">
        <v>2021</v>
      </c>
      <c r="G188">
        <v>5</v>
      </c>
      <c r="H188">
        <v>300</v>
      </c>
      <c r="I188">
        <v>24252</v>
      </c>
      <c r="J188">
        <v>505250</v>
      </c>
      <c r="K188" s="2">
        <v>41913</v>
      </c>
      <c r="L188">
        <v>10</v>
      </c>
      <c r="M188" s="1" t="s">
        <v>37</v>
      </c>
      <c r="N188" s="1" t="s">
        <v>84</v>
      </c>
      <c r="O188">
        <v>2014</v>
      </c>
      <c r="P188">
        <v>606300</v>
      </c>
      <c r="Q188">
        <v>582048</v>
      </c>
      <c r="R188">
        <v>76798</v>
      </c>
      <c r="S188" s="22">
        <v>0.13194444444444445</v>
      </c>
      <c r="T188" t="str" cm="1">
        <f t="array" ref="T188">_xlfn.SWITCH(TRUE,data[[#This Row],[Profit Margin]]&lt;0,"Negative",data[[#This Row],[Profit Margin]]&lt;0.1,"Low",data[[#This Row],[Profit Margin]]&lt;0.2,"Medium","High")</f>
        <v>Medium</v>
      </c>
    </row>
    <row r="189" spans="1:20" x14ac:dyDescent="0.35">
      <c r="A189">
        <v>188</v>
      </c>
      <c r="B189" s="1" t="s">
        <v>32</v>
      </c>
      <c r="C189" s="1" t="s">
        <v>27</v>
      </c>
      <c r="D189" s="1" t="s">
        <v>29</v>
      </c>
      <c r="E189" s="1" t="s">
        <v>46</v>
      </c>
      <c r="F189">
        <v>1138</v>
      </c>
      <c r="G189">
        <v>5</v>
      </c>
      <c r="H189">
        <v>125</v>
      </c>
      <c r="I189">
        <v>5690</v>
      </c>
      <c r="J189">
        <v>136560</v>
      </c>
      <c r="K189" s="2">
        <v>41974</v>
      </c>
      <c r="L189">
        <v>12</v>
      </c>
      <c r="M189" s="1" t="s">
        <v>28</v>
      </c>
      <c r="N189" s="1" t="s">
        <v>79</v>
      </c>
      <c r="O189">
        <v>2014</v>
      </c>
      <c r="P189">
        <v>142250</v>
      </c>
      <c r="Q189">
        <v>136560</v>
      </c>
      <c r="R189">
        <v>0</v>
      </c>
      <c r="S189" s="22">
        <v>0</v>
      </c>
      <c r="T189" t="str" cm="1">
        <f t="array" ref="T189">_xlfn.SWITCH(TRUE,data[[#This Row],[Profit Margin]]&lt;0,"Negative",data[[#This Row],[Profit Margin]]&lt;0.1,"Low",data[[#This Row],[Profit Margin]]&lt;0.2,"Medium","High")</f>
        <v>Low</v>
      </c>
    </row>
    <row r="190" spans="1:20" x14ac:dyDescent="0.35">
      <c r="A190">
        <v>189</v>
      </c>
      <c r="B190" s="1" t="s">
        <v>18</v>
      </c>
      <c r="C190" s="1" t="s">
        <v>19</v>
      </c>
      <c r="D190" s="1" t="s">
        <v>39</v>
      </c>
      <c r="E190" s="1" t="s">
        <v>46</v>
      </c>
      <c r="F190">
        <v>4251</v>
      </c>
      <c r="G190">
        <v>10</v>
      </c>
      <c r="H190">
        <v>7</v>
      </c>
      <c r="I190">
        <v>1190.28</v>
      </c>
      <c r="J190">
        <v>21255</v>
      </c>
      <c r="K190" s="2">
        <v>41640</v>
      </c>
      <c r="L190">
        <v>1</v>
      </c>
      <c r="M190" s="1" t="s">
        <v>22</v>
      </c>
      <c r="N190" s="1" t="s">
        <v>77</v>
      </c>
      <c r="O190">
        <v>2014</v>
      </c>
      <c r="P190">
        <v>29757</v>
      </c>
      <c r="Q190">
        <v>28566.720000000001</v>
      </c>
      <c r="R190">
        <v>7311.7200000000012</v>
      </c>
      <c r="S190" s="22">
        <v>0.25595238095238099</v>
      </c>
      <c r="T190" t="str" cm="1">
        <f t="array" ref="T190">_xlfn.SWITCH(TRUE,data[[#This Row],[Profit Margin]]&lt;0,"Negative",data[[#This Row],[Profit Margin]]&lt;0.1,"Low",data[[#This Row],[Profit Margin]]&lt;0.2,"Medium","High")</f>
        <v>High</v>
      </c>
    </row>
    <row r="191" spans="1:20" x14ac:dyDescent="0.35">
      <c r="A191">
        <v>190</v>
      </c>
      <c r="B191" s="1" t="s">
        <v>32</v>
      </c>
      <c r="C191" s="1" t="s">
        <v>23</v>
      </c>
      <c r="D191" s="1" t="s">
        <v>39</v>
      </c>
      <c r="E191" s="1" t="s">
        <v>46</v>
      </c>
      <c r="F191">
        <v>795</v>
      </c>
      <c r="G191">
        <v>10</v>
      </c>
      <c r="H191">
        <v>125</v>
      </c>
      <c r="I191">
        <v>3975</v>
      </c>
      <c r="J191">
        <v>95400</v>
      </c>
      <c r="K191" s="2">
        <v>41699</v>
      </c>
      <c r="L191">
        <v>3</v>
      </c>
      <c r="M191" s="1" t="s">
        <v>30</v>
      </c>
      <c r="N191" s="1" t="s">
        <v>80</v>
      </c>
      <c r="O191">
        <v>2014</v>
      </c>
      <c r="P191">
        <v>99375</v>
      </c>
      <c r="Q191">
        <v>95400</v>
      </c>
      <c r="R191">
        <v>0</v>
      </c>
      <c r="S191" s="22">
        <v>0</v>
      </c>
      <c r="T191" t="str" cm="1">
        <f t="array" ref="T191">_xlfn.SWITCH(TRUE,data[[#This Row],[Profit Margin]]&lt;0,"Negative",data[[#This Row],[Profit Margin]]&lt;0.1,"Low",data[[#This Row],[Profit Margin]]&lt;0.2,"Medium","High")</f>
        <v>Low</v>
      </c>
    </row>
    <row r="192" spans="1:20" x14ac:dyDescent="0.35">
      <c r="A192">
        <v>191</v>
      </c>
      <c r="B192" s="1" t="s">
        <v>34</v>
      </c>
      <c r="C192" s="1" t="s">
        <v>23</v>
      </c>
      <c r="D192" s="1" t="s">
        <v>39</v>
      </c>
      <c r="E192" s="1" t="s">
        <v>46</v>
      </c>
      <c r="F192">
        <v>1414.5</v>
      </c>
      <c r="G192">
        <v>10</v>
      </c>
      <c r="H192">
        <v>300</v>
      </c>
      <c r="I192">
        <v>16974</v>
      </c>
      <c r="J192">
        <v>353625</v>
      </c>
      <c r="K192" s="2">
        <v>41730</v>
      </c>
      <c r="L192">
        <v>4</v>
      </c>
      <c r="M192" s="1" t="s">
        <v>44</v>
      </c>
      <c r="N192" s="1" t="s">
        <v>87</v>
      </c>
      <c r="O192">
        <v>2014</v>
      </c>
      <c r="P192">
        <v>424350</v>
      </c>
      <c r="Q192">
        <v>407376</v>
      </c>
      <c r="R192">
        <v>53751</v>
      </c>
      <c r="S192" s="22">
        <v>0.13194444444444445</v>
      </c>
      <c r="T192" t="str" cm="1">
        <f t="array" ref="T192">_xlfn.SWITCH(TRUE,data[[#This Row],[Profit Margin]]&lt;0,"Negative",data[[#This Row],[Profit Margin]]&lt;0.1,"Low",data[[#This Row],[Profit Margin]]&lt;0.2,"Medium","High")</f>
        <v>Medium</v>
      </c>
    </row>
    <row r="193" spans="1:20" x14ac:dyDescent="0.35">
      <c r="A193">
        <v>192</v>
      </c>
      <c r="B193" s="1" t="s">
        <v>34</v>
      </c>
      <c r="C193" s="1" t="s">
        <v>38</v>
      </c>
      <c r="D193" s="1" t="s">
        <v>39</v>
      </c>
      <c r="E193" s="1" t="s">
        <v>46</v>
      </c>
      <c r="F193">
        <v>2918</v>
      </c>
      <c r="G193">
        <v>10</v>
      </c>
      <c r="H193">
        <v>300</v>
      </c>
      <c r="I193">
        <v>35016</v>
      </c>
      <c r="J193">
        <v>729500</v>
      </c>
      <c r="K193" s="2">
        <v>41760</v>
      </c>
      <c r="L193">
        <v>5</v>
      </c>
      <c r="M193" s="1" t="s">
        <v>47</v>
      </c>
      <c r="N193" s="1" t="s">
        <v>47</v>
      </c>
      <c r="O193">
        <v>2014</v>
      </c>
      <c r="P193">
        <v>875400</v>
      </c>
      <c r="Q193">
        <v>840384</v>
      </c>
      <c r="R193">
        <v>110884</v>
      </c>
      <c r="S193" s="22">
        <v>0.13194444444444445</v>
      </c>
      <c r="T193" t="str" cm="1">
        <f t="array" ref="T193">_xlfn.SWITCH(TRUE,data[[#This Row],[Profit Margin]]&lt;0,"Negative",data[[#This Row],[Profit Margin]]&lt;0.1,"Low",data[[#This Row],[Profit Margin]]&lt;0.2,"Medium","High")</f>
        <v>Medium</v>
      </c>
    </row>
    <row r="194" spans="1:20" x14ac:dyDescent="0.35">
      <c r="A194">
        <v>193</v>
      </c>
      <c r="B194" s="1" t="s">
        <v>18</v>
      </c>
      <c r="C194" s="1" t="s">
        <v>38</v>
      </c>
      <c r="D194" s="1" t="s">
        <v>39</v>
      </c>
      <c r="E194" s="1" t="s">
        <v>46</v>
      </c>
      <c r="F194">
        <v>3450</v>
      </c>
      <c r="G194">
        <v>10</v>
      </c>
      <c r="H194">
        <v>350</v>
      </c>
      <c r="I194">
        <v>48300</v>
      </c>
      <c r="J194">
        <v>897000</v>
      </c>
      <c r="K194" s="2">
        <v>41821</v>
      </c>
      <c r="L194">
        <v>7</v>
      </c>
      <c r="M194" s="1" t="s">
        <v>33</v>
      </c>
      <c r="N194" s="1" t="s">
        <v>81</v>
      </c>
      <c r="O194">
        <v>2014</v>
      </c>
      <c r="P194">
        <v>1207500</v>
      </c>
      <c r="Q194">
        <v>1159200</v>
      </c>
      <c r="R194">
        <v>262200</v>
      </c>
      <c r="S194" s="22">
        <v>0.22619047619047619</v>
      </c>
      <c r="T194" t="str" cm="1">
        <f t="array" ref="T194">_xlfn.SWITCH(TRUE,data[[#This Row],[Profit Margin]]&lt;0,"Negative",data[[#This Row],[Profit Margin]]&lt;0.1,"Low",data[[#This Row],[Profit Margin]]&lt;0.2,"Medium","High")</f>
        <v>High</v>
      </c>
    </row>
    <row r="195" spans="1:20" x14ac:dyDescent="0.35">
      <c r="A195">
        <v>194</v>
      </c>
      <c r="B195" s="1" t="s">
        <v>32</v>
      </c>
      <c r="C195" s="1" t="s">
        <v>25</v>
      </c>
      <c r="D195" s="1" t="s">
        <v>39</v>
      </c>
      <c r="E195" s="1" t="s">
        <v>46</v>
      </c>
      <c r="F195">
        <v>2988</v>
      </c>
      <c r="G195">
        <v>10</v>
      </c>
      <c r="H195">
        <v>125</v>
      </c>
      <c r="I195">
        <v>14940</v>
      </c>
      <c r="J195">
        <v>358560</v>
      </c>
      <c r="K195" s="2">
        <v>41821</v>
      </c>
      <c r="L195">
        <v>7</v>
      </c>
      <c r="M195" s="1" t="s">
        <v>33</v>
      </c>
      <c r="N195" s="1" t="s">
        <v>81</v>
      </c>
      <c r="O195">
        <v>2014</v>
      </c>
      <c r="P195">
        <v>373500</v>
      </c>
      <c r="Q195">
        <v>358560</v>
      </c>
      <c r="R195">
        <v>0</v>
      </c>
      <c r="S195" s="22">
        <v>0</v>
      </c>
      <c r="T195" t="str" cm="1">
        <f t="array" ref="T195">_xlfn.SWITCH(TRUE,data[[#This Row],[Profit Margin]]&lt;0,"Negative",data[[#This Row],[Profit Margin]]&lt;0.1,"Low",data[[#This Row],[Profit Margin]]&lt;0.2,"Medium","High")</f>
        <v>Low</v>
      </c>
    </row>
    <row r="196" spans="1:20" x14ac:dyDescent="0.35">
      <c r="A196">
        <v>195</v>
      </c>
      <c r="B196" s="1" t="s">
        <v>24</v>
      </c>
      <c r="C196" s="1" t="s">
        <v>19</v>
      </c>
      <c r="D196" s="1" t="s">
        <v>39</v>
      </c>
      <c r="E196" s="1" t="s">
        <v>46</v>
      </c>
      <c r="F196">
        <v>218</v>
      </c>
      <c r="G196">
        <v>10</v>
      </c>
      <c r="H196">
        <v>15</v>
      </c>
      <c r="I196">
        <v>130.80000000000001</v>
      </c>
      <c r="J196">
        <v>2180</v>
      </c>
      <c r="K196" s="2">
        <v>41883</v>
      </c>
      <c r="L196">
        <v>9</v>
      </c>
      <c r="M196" s="1" t="s">
        <v>36</v>
      </c>
      <c r="N196" s="1" t="s">
        <v>83</v>
      </c>
      <c r="O196">
        <v>2014</v>
      </c>
      <c r="P196">
        <v>3270</v>
      </c>
      <c r="Q196">
        <v>3139.2</v>
      </c>
      <c r="R196">
        <v>959.19999999999982</v>
      </c>
      <c r="S196" s="22">
        <v>0.30555555555555552</v>
      </c>
      <c r="T196" t="str" cm="1">
        <f t="array" ref="T196">_xlfn.SWITCH(TRUE,data[[#This Row],[Profit Margin]]&lt;0,"Negative",data[[#This Row],[Profit Margin]]&lt;0.1,"Low",data[[#This Row],[Profit Margin]]&lt;0.2,"Medium","High")</f>
        <v>High</v>
      </c>
    </row>
    <row r="197" spans="1:20" x14ac:dyDescent="0.35">
      <c r="A197">
        <v>196</v>
      </c>
      <c r="B197" s="1" t="s">
        <v>18</v>
      </c>
      <c r="C197" s="1" t="s">
        <v>19</v>
      </c>
      <c r="D197" s="1" t="s">
        <v>39</v>
      </c>
      <c r="E197" s="1" t="s">
        <v>46</v>
      </c>
      <c r="F197">
        <v>2074</v>
      </c>
      <c r="G197">
        <v>10</v>
      </c>
      <c r="H197">
        <v>20</v>
      </c>
      <c r="I197">
        <v>1659.2</v>
      </c>
      <c r="J197">
        <v>20740</v>
      </c>
      <c r="K197" s="2">
        <v>41883</v>
      </c>
      <c r="L197">
        <v>9</v>
      </c>
      <c r="M197" s="1" t="s">
        <v>36</v>
      </c>
      <c r="N197" s="1" t="s">
        <v>83</v>
      </c>
      <c r="O197">
        <v>2014</v>
      </c>
      <c r="P197">
        <v>41480</v>
      </c>
      <c r="Q197">
        <v>39820.800000000003</v>
      </c>
      <c r="R197">
        <v>19080.800000000003</v>
      </c>
      <c r="S197" s="22">
        <v>0.47916666666666669</v>
      </c>
      <c r="T197" t="str" cm="1">
        <f t="array" ref="T197">_xlfn.SWITCH(TRUE,data[[#This Row],[Profit Margin]]&lt;0,"Negative",data[[#This Row],[Profit Margin]]&lt;0.1,"Low",data[[#This Row],[Profit Margin]]&lt;0.2,"Medium","High")</f>
        <v>High</v>
      </c>
    </row>
    <row r="198" spans="1:20" x14ac:dyDescent="0.35">
      <c r="A198">
        <v>197</v>
      </c>
      <c r="B198" s="1" t="s">
        <v>18</v>
      </c>
      <c r="C198" s="1" t="s">
        <v>38</v>
      </c>
      <c r="D198" s="1" t="s">
        <v>39</v>
      </c>
      <c r="E198" s="1" t="s">
        <v>46</v>
      </c>
      <c r="F198">
        <v>1056</v>
      </c>
      <c r="G198">
        <v>10</v>
      </c>
      <c r="H198">
        <v>20</v>
      </c>
      <c r="I198">
        <v>844.8</v>
      </c>
      <c r="J198">
        <v>10560</v>
      </c>
      <c r="K198" s="2">
        <v>41883</v>
      </c>
      <c r="L198">
        <v>9</v>
      </c>
      <c r="M198" s="1" t="s">
        <v>36</v>
      </c>
      <c r="N198" s="1" t="s">
        <v>83</v>
      </c>
      <c r="O198">
        <v>2014</v>
      </c>
      <c r="P198">
        <v>21120</v>
      </c>
      <c r="Q198">
        <v>20275.2</v>
      </c>
      <c r="R198">
        <v>9715.2000000000007</v>
      </c>
      <c r="S198" s="22">
        <v>0.47916666666666669</v>
      </c>
      <c r="T198" t="str" cm="1">
        <f t="array" ref="T198">_xlfn.SWITCH(TRUE,data[[#This Row],[Profit Margin]]&lt;0,"Negative",data[[#This Row],[Profit Margin]]&lt;0.1,"Low",data[[#This Row],[Profit Margin]]&lt;0.2,"Medium","High")</f>
        <v>High</v>
      </c>
    </row>
    <row r="199" spans="1:20" x14ac:dyDescent="0.35">
      <c r="A199">
        <v>198</v>
      </c>
      <c r="B199" s="1" t="s">
        <v>24</v>
      </c>
      <c r="C199" s="1" t="s">
        <v>38</v>
      </c>
      <c r="D199" s="1" t="s">
        <v>39</v>
      </c>
      <c r="E199" s="1" t="s">
        <v>46</v>
      </c>
      <c r="F199">
        <v>671</v>
      </c>
      <c r="G199">
        <v>10</v>
      </c>
      <c r="H199">
        <v>15</v>
      </c>
      <c r="I199">
        <v>402.6</v>
      </c>
      <c r="J199">
        <v>6710</v>
      </c>
      <c r="K199" s="2">
        <v>41548</v>
      </c>
      <c r="L199">
        <v>10</v>
      </c>
      <c r="M199" s="1" t="s">
        <v>37</v>
      </c>
      <c r="N199" s="1" t="s">
        <v>84</v>
      </c>
      <c r="O199">
        <v>2013</v>
      </c>
      <c r="P199">
        <v>10065</v>
      </c>
      <c r="Q199">
        <v>9662.4</v>
      </c>
      <c r="R199">
        <v>2952.3999999999996</v>
      </c>
      <c r="S199" s="22">
        <v>0.30555555555555552</v>
      </c>
      <c r="T199" t="str" cm="1">
        <f t="array" ref="T199">_xlfn.SWITCH(TRUE,data[[#This Row],[Profit Margin]]&lt;0,"Negative",data[[#This Row],[Profit Margin]]&lt;0.1,"Low",data[[#This Row],[Profit Margin]]&lt;0.2,"Medium","High")</f>
        <v>High</v>
      </c>
    </row>
    <row r="200" spans="1:20" x14ac:dyDescent="0.35">
      <c r="A200">
        <v>199</v>
      </c>
      <c r="B200" s="1" t="s">
        <v>24</v>
      </c>
      <c r="C200" s="1" t="s">
        <v>27</v>
      </c>
      <c r="D200" s="1" t="s">
        <v>39</v>
      </c>
      <c r="E200" s="1" t="s">
        <v>46</v>
      </c>
      <c r="F200">
        <v>1514</v>
      </c>
      <c r="G200">
        <v>10</v>
      </c>
      <c r="H200">
        <v>15</v>
      </c>
      <c r="I200">
        <v>908.4</v>
      </c>
      <c r="J200">
        <v>15140</v>
      </c>
      <c r="K200" s="2">
        <v>41548</v>
      </c>
      <c r="L200">
        <v>10</v>
      </c>
      <c r="M200" s="1" t="s">
        <v>37</v>
      </c>
      <c r="N200" s="1" t="s">
        <v>84</v>
      </c>
      <c r="O200">
        <v>2013</v>
      </c>
      <c r="P200">
        <v>22710</v>
      </c>
      <c r="Q200">
        <v>21801.599999999999</v>
      </c>
      <c r="R200">
        <v>6661.5999999999985</v>
      </c>
      <c r="S200" s="22">
        <v>0.30555555555555552</v>
      </c>
      <c r="T200" t="str" cm="1">
        <f t="array" ref="T200">_xlfn.SWITCH(TRUE,data[[#This Row],[Profit Margin]]&lt;0,"Negative",data[[#This Row],[Profit Margin]]&lt;0.1,"Low",data[[#This Row],[Profit Margin]]&lt;0.2,"Medium","High")</f>
        <v>High</v>
      </c>
    </row>
    <row r="201" spans="1:20" x14ac:dyDescent="0.35">
      <c r="A201">
        <v>200</v>
      </c>
      <c r="B201" s="1" t="s">
        <v>18</v>
      </c>
      <c r="C201" s="1" t="s">
        <v>38</v>
      </c>
      <c r="D201" s="1" t="s">
        <v>39</v>
      </c>
      <c r="E201" s="1" t="s">
        <v>46</v>
      </c>
      <c r="F201">
        <v>274</v>
      </c>
      <c r="G201">
        <v>10</v>
      </c>
      <c r="H201">
        <v>350</v>
      </c>
      <c r="I201">
        <v>3836</v>
      </c>
      <c r="J201">
        <v>71240</v>
      </c>
      <c r="K201" s="2">
        <v>41974</v>
      </c>
      <c r="L201">
        <v>12</v>
      </c>
      <c r="M201" s="1" t="s">
        <v>28</v>
      </c>
      <c r="N201" s="1" t="s">
        <v>79</v>
      </c>
      <c r="O201">
        <v>2014</v>
      </c>
      <c r="P201">
        <v>95900</v>
      </c>
      <c r="Q201">
        <v>92064</v>
      </c>
      <c r="R201">
        <v>20824</v>
      </c>
      <c r="S201" s="22">
        <v>0.22619047619047619</v>
      </c>
      <c r="T201" t="str" cm="1">
        <f t="array" ref="T201">_xlfn.SWITCH(TRUE,data[[#This Row],[Profit Margin]]&lt;0,"Negative",data[[#This Row],[Profit Margin]]&lt;0.1,"Low",data[[#This Row],[Profit Margin]]&lt;0.2,"Medium","High")</f>
        <v>High</v>
      </c>
    </row>
    <row r="202" spans="1:20" x14ac:dyDescent="0.35">
      <c r="A202">
        <v>201</v>
      </c>
      <c r="B202" s="1" t="s">
        <v>32</v>
      </c>
      <c r="C202" s="1" t="s">
        <v>27</v>
      </c>
      <c r="D202" s="1" t="s">
        <v>39</v>
      </c>
      <c r="E202" s="1" t="s">
        <v>46</v>
      </c>
      <c r="F202">
        <v>1138</v>
      </c>
      <c r="G202">
        <v>10</v>
      </c>
      <c r="H202">
        <v>125</v>
      </c>
      <c r="I202">
        <v>5690</v>
      </c>
      <c r="J202">
        <v>136560</v>
      </c>
      <c r="K202" s="2">
        <v>41974</v>
      </c>
      <c r="L202">
        <v>12</v>
      </c>
      <c r="M202" s="1" t="s">
        <v>28</v>
      </c>
      <c r="N202" s="1" t="s">
        <v>79</v>
      </c>
      <c r="O202">
        <v>2014</v>
      </c>
      <c r="P202">
        <v>142250</v>
      </c>
      <c r="Q202">
        <v>136560</v>
      </c>
      <c r="R202">
        <v>0</v>
      </c>
      <c r="S202" s="22">
        <v>0</v>
      </c>
      <c r="T202" t="str" cm="1">
        <f t="array" ref="T202">_xlfn.SWITCH(TRUE,data[[#This Row],[Profit Margin]]&lt;0,"Negative",data[[#This Row],[Profit Margin]]&lt;0.1,"Low",data[[#This Row],[Profit Margin]]&lt;0.2,"Medium","High")</f>
        <v>Low</v>
      </c>
    </row>
    <row r="203" spans="1:20" x14ac:dyDescent="0.35">
      <c r="A203">
        <v>202</v>
      </c>
      <c r="B203" s="1" t="s">
        <v>31</v>
      </c>
      <c r="C203" s="1" t="s">
        <v>38</v>
      </c>
      <c r="D203" s="1" t="s">
        <v>42</v>
      </c>
      <c r="E203" s="1" t="s">
        <v>46</v>
      </c>
      <c r="F203">
        <v>1465</v>
      </c>
      <c r="G203">
        <v>120</v>
      </c>
      <c r="H203">
        <v>12</v>
      </c>
      <c r="I203">
        <v>703.2</v>
      </c>
      <c r="J203">
        <v>4395</v>
      </c>
      <c r="K203" s="2">
        <v>41699</v>
      </c>
      <c r="L203">
        <v>3</v>
      </c>
      <c r="M203" s="1" t="s">
        <v>30</v>
      </c>
      <c r="N203" s="1" t="s">
        <v>80</v>
      </c>
      <c r="O203">
        <v>2014</v>
      </c>
      <c r="P203">
        <v>17580</v>
      </c>
      <c r="Q203">
        <v>16876.8</v>
      </c>
      <c r="R203">
        <v>12481.8</v>
      </c>
      <c r="S203" s="22">
        <v>0.73958333333333337</v>
      </c>
      <c r="T203" t="str" cm="1">
        <f t="array" ref="T203">_xlfn.SWITCH(TRUE,data[[#This Row],[Profit Margin]]&lt;0,"Negative",data[[#This Row],[Profit Margin]]&lt;0.1,"Low",data[[#This Row],[Profit Margin]]&lt;0.2,"Medium","High")</f>
        <v>High</v>
      </c>
    </row>
    <row r="204" spans="1:20" x14ac:dyDescent="0.35">
      <c r="A204">
        <v>203</v>
      </c>
      <c r="B204" s="1" t="s">
        <v>18</v>
      </c>
      <c r="C204" s="1" t="s">
        <v>19</v>
      </c>
      <c r="D204" s="1" t="s">
        <v>42</v>
      </c>
      <c r="E204" s="1" t="s">
        <v>46</v>
      </c>
      <c r="F204">
        <v>2646</v>
      </c>
      <c r="G204">
        <v>120</v>
      </c>
      <c r="H204">
        <v>20</v>
      </c>
      <c r="I204">
        <v>2116.8000000000002</v>
      </c>
      <c r="J204">
        <v>26460</v>
      </c>
      <c r="K204" s="2">
        <v>41518</v>
      </c>
      <c r="L204">
        <v>9</v>
      </c>
      <c r="M204" s="1" t="s">
        <v>36</v>
      </c>
      <c r="N204" s="1" t="s">
        <v>83</v>
      </c>
      <c r="O204">
        <v>2013</v>
      </c>
      <c r="P204">
        <v>52920</v>
      </c>
      <c r="Q204">
        <v>50803.199999999997</v>
      </c>
      <c r="R204">
        <v>24343.199999999997</v>
      </c>
      <c r="S204" s="22">
        <v>0.47916666666666663</v>
      </c>
      <c r="T204" t="str" cm="1">
        <f t="array" ref="T204">_xlfn.SWITCH(TRUE,data[[#This Row],[Profit Margin]]&lt;0,"Negative",data[[#This Row],[Profit Margin]]&lt;0.1,"Low",data[[#This Row],[Profit Margin]]&lt;0.2,"Medium","High")</f>
        <v>High</v>
      </c>
    </row>
    <row r="205" spans="1:20" x14ac:dyDescent="0.35">
      <c r="A205">
        <v>204</v>
      </c>
      <c r="B205" s="1" t="s">
        <v>18</v>
      </c>
      <c r="C205" s="1" t="s">
        <v>25</v>
      </c>
      <c r="D205" s="1" t="s">
        <v>42</v>
      </c>
      <c r="E205" s="1" t="s">
        <v>46</v>
      </c>
      <c r="F205">
        <v>2177</v>
      </c>
      <c r="G205">
        <v>120</v>
      </c>
      <c r="H205">
        <v>350</v>
      </c>
      <c r="I205">
        <v>30478</v>
      </c>
      <c r="J205">
        <v>566020</v>
      </c>
      <c r="K205" s="2">
        <v>41913</v>
      </c>
      <c r="L205">
        <v>10</v>
      </c>
      <c r="M205" s="1" t="s">
        <v>37</v>
      </c>
      <c r="N205" s="1" t="s">
        <v>84</v>
      </c>
      <c r="O205">
        <v>2014</v>
      </c>
      <c r="P205">
        <v>761950</v>
      </c>
      <c r="Q205">
        <v>731472</v>
      </c>
      <c r="R205">
        <v>165452</v>
      </c>
      <c r="S205" s="22">
        <v>0.22619047619047619</v>
      </c>
      <c r="T205" t="str" cm="1">
        <f t="array" ref="T205">_xlfn.SWITCH(TRUE,data[[#This Row],[Profit Margin]]&lt;0,"Negative",data[[#This Row],[Profit Margin]]&lt;0.1,"Low",data[[#This Row],[Profit Margin]]&lt;0.2,"Medium","High")</f>
        <v>High</v>
      </c>
    </row>
    <row r="206" spans="1:20" x14ac:dyDescent="0.35">
      <c r="A206">
        <v>205</v>
      </c>
      <c r="B206" s="1" t="s">
        <v>31</v>
      </c>
      <c r="C206" s="1" t="s">
        <v>25</v>
      </c>
      <c r="D206" s="1" t="s">
        <v>43</v>
      </c>
      <c r="E206" s="1" t="s">
        <v>46</v>
      </c>
      <c r="F206">
        <v>866</v>
      </c>
      <c r="G206">
        <v>250</v>
      </c>
      <c r="H206">
        <v>12</v>
      </c>
      <c r="I206">
        <v>415.68</v>
      </c>
      <c r="J206">
        <v>2598</v>
      </c>
      <c r="K206" s="2">
        <v>41760</v>
      </c>
      <c r="L206">
        <v>5</v>
      </c>
      <c r="M206" s="1" t="s">
        <v>47</v>
      </c>
      <c r="N206" s="1" t="s">
        <v>47</v>
      </c>
      <c r="O206">
        <v>2014</v>
      </c>
      <c r="P206">
        <v>10392</v>
      </c>
      <c r="Q206">
        <v>9976.32</v>
      </c>
      <c r="R206">
        <v>7378.32</v>
      </c>
      <c r="S206" s="22">
        <v>0.73958333333333337</v>
      </c>
      <c r="T206" t="str" cm="1">
        <f t="array" ref="T206">_xlfn.SWITCH(TRUE,data[[#This Row],[Profit Margin]]&lt;0,"Negative",data[[#This Row],[Profit Margin]]&lt;0.1,"Low",data[[#This Row],[Profit Margin]]&lt;0.2,"Medium","High")</f>
        <v>High</v>
      </c>
    </row>
    <row r="207" spans="1:20" x14ac:dyDescent="0.35">
      <c r="A207">
        <v>206</v>
      </c>
      <c r="B207" s="1" t="s">
        <v>18</v>
      </c>
      <c r="C207" s="1" t="s">
        <v>38</v>
      </c>
      <c r="D207" s="1" t="s">
        <v>43</v>
      </c>
      <c r="E207" s="1" t="s">
        <v>46</v>
      </c>
      <c r="F207">
        <v>349</v>
      </c>
      <c r="G207">
        <v>250</v>
      </c>
      <c r="H207">
        <v>350</v>
      </c>
      <c r="I207">
        <v>4886</v>
      </c>
      <c r="J207">
        <v>90740</v>
      </c>
      <c r="K207" s="2">
        <v>41518</v>
      </c>
      <c r="L207">
        <v>9</v>
      </c>
      <c r="M207" s="1" t="s">
        <v>36</v>
      </c>
      <c r="N207" s="1" t="s">
        <v>83</v>
      </c>
      <c r="O207">
        <v>2013</v>
      </c>
      <c r="P207">
        <v>122150</v>
      </c>
      <c r="Q207">
        <v>117264</v>
      </c>
      <c r="R207">
        <v>26524</v>
      </c>
      <c r="S207" s="22">
        <v>0.22619047619047619</v>
      </c>
      <c r="T207" t="str" cm="1">
        <f t="array" ref="T207">_xlfn.SWITCH(TRUE,data[[#This Row],[Profit Margin]]&lt;0,"Negative",data[[#This Row],[Profit Margin]]&lt;0.1,"Low",data[[#This Row],[Profit Margin]]&lt;0.2,"Medium","High")</f>
        <v>High</v>
      </c>
    </row>
    <row r="208" spans="1:20" x14ac:dyDescent="0.35">
      <c r="A208">
        <v>207</v>
      </c>
      <c r="B208" s="1" t="s">
        <v>18</v>
      </c>
      <c r="C208" s="1" t="s">
        <v>25</v>
      </c>
      <c r="D208" s="1" t="s">
        <v>43</v>
      </c>
      <c r="E208" s="1" t="s">
        <v>46</v>
      </c>
      <c r="F208">
        <v>2177</v>
      </c>
      <c r="G208">
        <v>250</v>
      </c>
      <c r="H208">
        <v>350</v>
      </c>
      <c r="I208">
        <v>30478</v>
      </c>
      <c r="J208">
        <v>566020</v>
      </c>
      <c r="K208" s="2">
        <v>41913</v>
      </c>
      <c r="L208">
        <v>10</v>
      </c>
      <c r="M208" s="1" t="s">
        <v>37</v>
      </c>
      <c r="N208" s="1" t="s">
        <v>84</v>
      </c>
      <c r="O208">
        <v>2014</v>
      </c>
      <c r="P208">
        <v>761950</v>
      </c>
      <c r="Q208">
        <v>731472</v>
      </c>
      <c r="R208">
        <v>165452</v>
      </c>
      <c r="S208" s="22">
        <v>0.22619047619047619</v>
      </c>
      <c r="T208" t="str" cm="1">
        <f t="array" ref="T208">_xlfn.SWITCH(TRUE,data[[#This Row],[Profit Margin]]&lt;0,"Negative",data[[#This Row],[Profit Margin]]&lt;0.1,"Low",data[[#This Row],[Profit Margin]]&lt;0.2,"Medium","High")</f>
        <v>High</v>
      </c>
    </row>
    <row r="209" spans="1:20" x14ac:dyDescent="0.35">
      <c r="A209">
        <v>208</v>
      </c>
      <c r="B209" s="1" t="s">
        <v>24</v>
      </c>
      <c r="C209" s="1" t="s">
        <v>27</v>
      </c>
      <c r="D209" s="1" t="s">
        <v>43</v>
      </c>
      <c r="E209" s="1" t="s">
        <v>46</v>
      </c>
      <c r="F209">
        <v>1514</v>
      </c>
      <c r="G209">
        <v>250</v>
      </c>
      <c r="H209">
        <v>15</v>
      </c>
      <c r="I209">
        <v>908.4</v>
      </c>
      <c r="J209">
        <v>15140</v>
      </c>
      <c r="K209" s="2">
        <v>41548</v>
      </c>
      <c r="L209">
        <v>10</v>
      </c>
      <c r="M209" s="1" t="s">
        <v>37</v>
      </c>
      <c r="N209" s="1" t="s">
        <v>84</v>
      </c>
      <c r="O209">
        <v>2013</v>
      </c>
      <c r="P209">
        <v>22710</v>
      </c>
      <c r="Q209">
        <v>21801.599999999999</v>
      </c>
      <c r="R209">
        <v>6661.5999999999985</v>
      </c>
      <c r="S209" s="22">
        <v>0.30555555555555552</v>
      </c>
      <c r="T209" t="str" cm="1">
        <f t="array" ref="T209">_xlfn.SWITCH(TRUE,data[[#This Row],[Profit Margin]]&lt;0,"Negative",data[[#This Row],[Profit Margin]]&lt;0.1,"Low",data[[#This Row],[Profit Margin]]&lt;0.2,"Medium","High")</f>
        <v>High</v>
      </c>
    </row>
    <row r="210" spans="1:20" x14ac:dyDescent="0.35">
      <c r="A210">
        <v>209</v>
      </c>
      <c r="B210" s="1" t="s">
        <v>18</v>
      </c>
      <c r="C210" s="1" t="s">
        <v>27</v>
      </c>
      <c r="D210" s="1" t="s">
        <v>45</v>
      </c>
      <c r="E210" s="1" t="s">
        <v>46</v>
      </c>
      <c r="F210">
        <v>1865</v>
      </c>
      <c r="G210">
        <v>260</v>
      </c>
      <c r="H210">
        <v>350</v>
      </c>
      <c r="I210">
        <v>26110</v>
      </c>
      <c r="J210">
        <v>484900</v>
      </c>
      <c r="K210" s="2">
        <v>41671</v>
      </c>
      <c r="L210">
        <v>2</v>
      </c>
      <c r="M210" s="1" t="s">
        <v>40</v>
      </c>
      <c r="N210" s="1" t="s">
        <v>85</v>
      </c>
      <c r="O210">
        <v>2014</v>
      </c>
      <c r="P210">
        <v>652750</v>
      </c>
      <c r="Q210">
        <v>626640</v>
      </c>
      <c r="R210">
        <v>141740</v>
      </c>
      <c r="S210" s="22">
        <v>0.22619047619047619</v>
      </c>
      <c r="T210" t="str" cm="1">
        <f t="array" ref="T210">_xlfn.SWITCH(TRUE,data[[#This Row],[Profit Margin]]&lt;0,"Negative",data[[#This Row],[Profit Margin]]&lt;0.1,"Low",data[[#This Row],[Profit Margin]]&lt;0.2,"Medium","High")</f>
        <v>High</v>
      </c>
    </row>
    <row r="211" spans="1:20" x14ac:dyDescent="0.35">
      <c r="A211">
        <v>210</v>
      </c>
      <c r="B211" s="1" t="s">
        <v>32</v>
      </c>
      <c r="C211" s="1" t="s">
        <v>27</v>
      </c>
      <c r="D211" s="1" t="s">
        <v>45</v>
      </c>
      <c r="E211" s="1" t="s">
        <v>46</v>
      </c>
      <c r="F211">
        <v>1074</v>
      </c>
      <c r="G211">
        <v>260</v>
      </c>
      <c r="H211">
        <v>125</v>
      </c>
      <c r="I211">
        <v>5370</v>
      </c>
      <c r="J211">
        <v>128880</v>
      </c>
      <c r="K211" s="2">
        <v>41730</v>
      </c>
      <c r="L211">
        <v>4</v>
      </c>
      <c r="M211" s="1" t="s">
        <v>44</v>
      </c>
      <c r="N211" s="1" t="s">
        <v>87</v>
      </c>
      <c r="O211">
        <v>2014</v>
      </c>
      <c r="P211">
        <v>134250</v>
      </c>
      <c r="Q211">
        <v>128880</v>
      </c>
      <c r="R211">
        <v>0</v>
      </c>
      <c r="S211" s="22">
        <v>0</v>
      </c>
      <c r="T211" t="str" cm="1">
        <f t="array" ref="T211">_xlfn.SWITCH(TRUE,data[[#This Row],[Profit Margin]]&lt;0,"Negative",data[[#This Row],[Profit Margin]]&lt;0.1,"Low",data[[#This Row],[Profit Margin]]&lt;0.2,"Medium","High")</f>
        <v>Low</v>
      </c>
    </row>
    <row r="212" spans="1:20" x14ac:dyDescent="0.35">
      <c r="A212">
        <v>211</v>
      </c>
      <c r="B212" s="1" t="s">
        <v>18</v>
      </c>
      <c r="C212" s="1" t="s">
        <v>23</v>
      </c>
      <c r="D212" s="1" t="s">
        <v>45</v>
      </c>
      <c r="E212" s="1" t="s">
        <v>46</v>
      </c>
      <c r="F212">
        <v>1907</v>
      </c>
      <c r="G212">
        <v>260</v>
      </c>
      <c r="H212">
        <v>350</v>
      </c>
      <c r="I212">
        <v>26698</v>
      </c>
      <c r="J212">
        <v>495820</v>
      </c>
      <c r="K212" s="2">
        <v>41883</v>
      </c>
      <c r="L212">
        <v>9</v>
      </c>
      <c r="M212" s="1" t="s">
        <v>36</v>
      </c>
      <c r="N212" s="1" t="s">
        <v>83</v>
      </c>
      <c r="O212">
        <v>2014</v>
      </c>
      <c r="P212">
        <v>667450</v>
      </c>
      <c r="Q212">
        <v>640752</v>
      </c>
      <c r="R212">
        <v>144932</v>
      </c>
      <c r="S212" s="22">
        <v>0.22619047619047619</v>
      </c>
      <c r="T212" t="str" cm="1">
        <f t="array" ref="T212">_xlfn.SWITCH(TRUE,data[[#This Row],[Profit Margin]]&lt;0,"Negative",data[[#This Row],[Profit Margin]]&lt;0.1,"Low",data[[#This Row],[Profit Margin]]&lt;0.2,"Medium","High")</f>
        <v>High</v>
      </c>
    </row>
    <row r="213" spans="1:20" x14ac:dyDescent="0.35">
      <c r="A213">
        <v>212</v>
      </c>
      <c r="B213" s="1" t="s">
        <v>24</v>
      </c>
      <c r="C213" s="1" t="s">
        <v>38</v>
      </c>
      <c r="D213" s="1" t="s">
        <v>45</v>
      </c>
      <c r="E213" s="1" t="s">
        <v>46</v>
      </c>
      <c r="F213">
        <v>671</v>
      </c>
      <c r="G213">
        <v>260</v>
      </c>
      <c r="H213">
        <v>15</v>
      </c>
      <c r="I213">
        <v>402.6</v>
      </c>
      <c r="J213">
        <v>6710</v>
      </c>
      <c r="K213" s="2">
        <v>41548</v>
      </c>
      <c r="L213">
        <v>10</v>
      </c>
      <c r="M213" s="1" t="s">
        <v>37</v>
      </c>
      <c r="N213" s="1" t="s">
        <v>84</v>
      </c>
      <c r="O213">
        <v>2013</v>
      </c>
      <c r="P213">
        <v>10065</v>
      </c>
      <c r="Q213">
        <v>9662.4</v>
      </c>
      <c r="R213">
        <v>2952.3999999999996</v>
      </c>
      <c r="S213" s="22">
        <v>0.30555555555555552</v>
      </c>
      <c r="T213" t="str" cm="1">
        <f t="array" ref="T213">_xlfn.SWITCH(TRUE,data[[#This Row],[Profit Margin]]&lt;0,"Negative",data[[#This Row],[Profit Margin]]&lt;0.1,"Low",data[[#This Row],[Profit Margin]]&lt;0.2,"Medium","High")</f>
        <v>High</v>
      </c>
    </row>
    <row r="214" spans="1:20" x14ac:dyDescent="0.35">
      <c r="A214">
        <v>213</v>
      </c>
      <c r="B214" s="1" t="s">
        <v>18</v>
      </c>
      <c r="C214" s="1" t="s">
        <v>19</v>
      </c>
      <c r="D214" s="1" t="s">
        <v>45</v>
      </c>
      <c r="E214" s="1" t="s">
        <v>46</v>
      </c>
      <c r="F214">
        <v>1778</v>
      </c>
      <c r="G214">
        <v>260</v>
      </c>
      <c r="H214">
        <v>350</v>
      </c>
      <c r="I214">
        <v>24892</v>
      </c>
      <c r="J214">
        <v>462280</v>
      </c>
      <c r="K214" s="2">
        <v>41609</v>
      </c>
      <c r="L214">
        <v>12</v>
      </c>
      <c r="M214" s="1" t="s">
        <v>28</v>
      </c>
      <c r="N214" s="1" t="s">
        <v>79</v>
      </c>
      <c r="O214">
        <v>2013</v>
      </c>
      <c r="P214">
        <v>622300</v>
      </c>
      <c r="Q214">
        <v>597408</v>
      </c>
      <c r="R214">
        <v>135128</v>
      </c>
      <c r="S214" s="22">
        <v>0.22619047619047619</v>
      </c>
      <c r="T214" t="str" cm="1">
        <f t="array" ref="T214">_xlfn.SWITCH(TRUE,data[[#This Row],[Profit Margin]]&lt;0,"Negative",data[[#This Row],[Profit Margin]]&lt;0.1,"Low",data[[#This Row],[Profit Margin]]&lt;0.2,"Medium","High")</f>
        <v>High</v>
      </c>
    </row>
    <row r="215" spans="1:20" x14ac:dyDescent="0.35">
      <c r="A215">
        <v>214</v>
      </c>
      <c r="B215" s="1" t="s">
        <v>18</v>
      </c>
      <c r="C215" s="1" t="s">
        <v>23</v>
      </c>
      <c r="D215" s="1" t="s">
        <v>29</v>
      </c>
      <c r="E215" s="1" t="s">
        <v>48</v>
      </c>
      <c r="F215">
        <v>1159</v>
      </c>
      <c r="G215">
        <v>5</v>
      </c>
      <c r="H215">
        <v>7</v>
      </c>
      <c r="I215">
        <v>405.65</v>
      </c>
      <c r="J215">
        <v>5795</v>
      </c>
      <c r="K215" s="2">
        <v>41548</v>
      </c>
      <c r="L215">
        <v>10</v>
      </c>
      <c r="M215" s="1" t="s">
        <v>37</v>
      </c>
      <c r="N215" s="1" t="s">
        <v>84</v>
      </c>
      <c r="O215">
        <v>2013</v>
      </c>
      <c r="P215">
        <v>8113</v>
      </c>
      <c r="Q215">
        <v>7707.35</v>
      </c>
      <c r="R215">
        <v>1912.3500000000004</v>
      </c>
      <c r="S215" s="22">
        <v>0.24812030075187974</v>
      </c>
      <c r="T215" t="str" cm="1">
        <f t="array" ref="T215">_xlfn.SWITCH(TRUE,data[[#This Row],[Profit Margin]]&lt;0,"Negative",data[[#This Row],[Profit Margin]]&lt;0.1,"Low",data[[#This Row],[Profit Margin]]&lt;0.2,"Medium","High")</f>
        <v>High</v>
      </c>
    </row>
    <row r="216" spans="1:20" x14ac:dyDescent="0.35">
      <c r="A216">
        <v>215</v>
      </c>
      <c r="B216" s="1" t="s">
        <v>18</v>
      </c>
      <c r="C216" s="1" t="s">
        <v>23</v>
      </c>
      <c r="D216" s="1" t="s">
        <v>39</v>
      </c>
      <c r="E216" s="1" t="s">
        <v>48</v>
      </c>
      <c r="F216">
        <v>1372</v>
      </c>
      <c r="G216">
        <v>10</v>
      </c>
      <c r="H216">
        <v>7</v>
      </c>
      <c r="I216">
        <v>480.2</v>
      </c>
      <c r="J216">
        <v>6860</v>
      </c>
      <c r="K216" s="2">
        <v>41640</v>
      </c>
      <c r="L216">
        <v>1</v>
      </c>
      <c r="M216" s="1" t="s">
        <v>22</v>
      </c>
      <c r="N216" s="1" t="s">
        <v>77</v>
      </c>
      <c r="O216">
        <v>2014</v>
      </c>
      <c r="P216">
        <v>9604</v>
      </c>
      <c r="Q216">
        <v>9123.7999999999993</v>
      </c>
      <c r="R216">
        <v>2263.7999999999993</v>
      </c>
      <c r="S216" s="22">
        <v>0.24812030075187963</v>
      </c>
      <c r="T216" t="str" cm="1">
        <f t="array" ref="T216">_xlfn.SWITCH(TRUE,data[[#This Row],[Profit Margin]]&lt;0,"Negative",data[[#This Row],[Profit Margin]]&lt;0.1,"Low",data[[#This Row],[Profit Margin]]&lt;0.2,"Medium","High")</f>
        <v>High</v>
      </c>
    </row>
    <row r="217" spans="1:20" x14ac:dyDescent="0.35">
      <c r="A217">
        <v>216</v>
      </c>
      <c r="B217" s="1" t="s">
        <v>18</v>
      </c>
      <c r="C217" s="1" t="s">
        <v>19</v>
      </c>
      <c r="D217" s="1" t="s">
        <v>39</v>
      </c>
      <c r="E217" s="1" t="s">
        <v>48</v>
      </c>
      <c r="F217">
        <v>2349</v>
      </c>
      <c r="G217">
        <v>10</v>
      </c>
      <c r="H217">
        <v>7</v>
      </c>
      <c r="I217">
        <v>822.15</v>
      </c>
      <c r="J217">
        <v>11745</v>
      </c>
      <c r="K217" s="2">
        <v>41518</v>
      </c>
      <c r="L217">
        <v>9</v>
      </c>
      <c r="M217" s="1" t="s">
        <v>36</v>
      </c>
      <c r="N217" s="1" t="s">
        <v>83</v>
      </c>
      <c r="O217">
        <v>2013</v>
      </c>
      <c r="P217">
        <v>16443</v>
      </c>
      <c r="Q217">
        <v>15620.85</v>
      </c>
      <c r="R217">
        <v>3875.8500000000004</v>
      </c>
      <c r="S217" s="22">
        <v>0.24812030075187971</v>
      </c>
      <c r="T217" t="str" cm="1">
        <f t="array" ref="T217">_xlfn.SWITCH(TRUE,data[[#This Row],[Profit Margin]]&lt;0,"Negative",data[[#This Row],[Profit Margin]]&lt;0.1,"Low",data[[#This Row],[Profit Margin]]&lt;0.2,"Medium","High")</f>
        <v>High</v>
      </c>
    </row>
    <row r="218" spans="1:20" x14ac:dyDescent="0.35">
      <c r="A218">
        <v>217</v>
      </c>
      <c r="B218" s="1" t="s">
        <v>18</v>
      </c>
      <c r="C218" s="1" t="s">
        <v>27</v>
      </c>
      <c r="D218" s="1" t="s">
        <v>39</v>
      </c>
      <c r="E218" s="1" t="s">
        <v>48</v>
      </c>
      <c r="F218">
        <v>2689</v>
      </c>
      <c r="G218">
        <v>10</v>
      </c>
      <c r="H218">
        <v>7</v>
      </c>
      <c r="I218">
        <v>941.15</v>
      </c>
      <c r="J218">
        <v>13445</v>
      </c>
      <c r="K218" s="2">
        <v>41913</v>
      </c>
      <c r="L218">
        <v>10</v>
      </c>
      <c r="M218" s="1" t="s">
        <v>37</v>
      </c>
      <c r="N218" s="1" t="s">
        <v>84</v>
      </c>
      <c r="O218">
        <v>2014</v>
      </c>
      <c r="P218">
        <v>18823</v>
      </c>
      <c r="Q218">
        <v>17881.849999999999</v>
      </c>
      <c r="R218">
        <v>4436.8499999999985</v>
      </c>
      <c r="S218" s="22">
        <v>0.24812030075187963</v>
      </c>
      <c r="T218" t="str" cm="1">
        <f t="array" ref="T218">_xlfn.SWITCH(TRUE,data[[#This Row],[Profit Margin]]&lt;0,"Negative",data[[#This Row],[Profit Margin]]&lt;0.1,"Low",data[[#This Row],[Profit Margin]]&lt;0.2,"Medium","High")</f>
        <v>High</v>
      </c>
    </row>
    <row r="219" spans="1:20" x14ac:dyDescent="0.35">
      <c r="A219">
        <v>218</v>
      </c>
      <c r="B219" s="1" t="s">
        <v>31</v>
      </c>
      <c r="C219" s="1" t="s">
        <v>19</v>
      </c>
      <c r="D219" s="1" t="s">
        <v>39</v>
      </c>
      <c r="E219" s="1" t="s">
        <v>48</v>
      </c>
      <c r="F219">
        <v>2431</v>
      </c>
      <c r="G219">
        <v>10</v>
      </c>
      <c r="H219">
        <v>12</v>
      </c>
      <c r="I219">
        <v>1458.6</v>
      </c>
      <c r="J219">
        <v>7293</v>
      </c>
      <c r="K219" s="2">
        <v>41974</v>
      </c>
      <c r="L219">
        <v>12</v>
      </c>
      <c r="M219" s="1" t="s">
        <v>28</v>
      </c>
      <c r="N219" s="1" t="s">
        <v>79</v>
      </c>
      <c r="O219">
        <v>2014</v>
      </c>
      <c r="P219">
        <v>29172</v>
      </c>
      <c r="Q219">
        <v>27713.4</v>
      </c>
      <c r="R219">
        <v>20420.400000000001</v>
      </c>
      <c r="S219" s="22">
        <v>0.73684210526315785</v>
      </c>
      <c r="T219" t="str" cm="1">
        <f t="array" ref="T219">_xlfn.SWITCH(TRUE,data[[#This Row],[Profit Margin]]&lt;0,"Negative",data[[#This Row],[Profit Margin]]&lt;0.1,"Low",data[[#This Row],[Profit Margin]]&lt;0.2,"Medium","High")</f>
        <v>High</v>
      </c>
    </row>
    <row r="220" spans="1:20" x14ac:dyDescent="0.35">
      <c r="A220">
        <v>219</v>
      </c>
      <c r="B220" s="1" t="s">
        <v>31</v>
      </c>
      <c r="C220" s="1" t="s">
        <v>19</v>
      </c>
      <c r="D220" s="1" t="s">
        <v>42</v>
      </c>
      <c r="E220" s="1" t="s">
        <v>48</v>
      </c>
      <c r="F220">
        <v>2431</v>
      </c>
      <c r="G220">
        <v>120</v>
      </c>
      <c r="H220">
        <v>12</v>
      </c>
      <c r="I220">
        <v>1458.6</v>
      </c>
      <c r="J220">
        <v>7293</v>
      </c>
      <c r="K220" s="2">
        <v>41974</v>
      </c>
      <c r="L220">
        <v>12</v>
      </c>
      <c r="M220" s="1" t="s">
        <v>28</v>
      </c>
      <c r="N220" s="1" t="s">
        <v>79</v>
      </c>
      <c r="O220">
        <v>2014</v>
      </c>
      <c r="P220">
        <v>29172</v>
      </c>
      <c r="Q220">
        <v>27713.4</v>
      </c>
      <c r="R220">
        <v>20420.400000000001</v>
      </c>
      <c r="S220" s="22">
        <v>0.73684210526315785</v>
      </c>
      <c r="T220" t="str" cm="1">
        <f t="array" ref="T220">_xlfn.SWITCH(TRUE,data[[#This Row],[Profit Margin]]&lt;0,"Negative",data[[#This Row],[Profit Margin]]&lt;0.1,"Low",data[[#This Row],[Profit Margin]]&lt;0.2,"Medium","High")</f>
        <v>High</v>
      </c>
    </row>
    <row r="221" spans="1:20" x14ac:dyDescent="0.35">
      <c r="A221">
        <v>220</v>
      </c>
      <c r="B221" s="1" t="s">
        <v>18</v>
      </c>
      <c r="C221" s="1" t="s">
        <v>27</v>
      </c>
      <c r="D221" s="1" t="s">
        <v>43</v>
      </c>
      <c r="E221" s="1" t="s">
        <v>48</v>
      </c>
      <c r="F221">
        <v>2689</v>
      </c>
      <c r="G221">
        <v>250</v>
      </c>
      <c r="H221">
        <v>7</v>
      </c>
      <c r="I221">
        <v>941.15</v>
      </c>
      <c r="J221">
        <v>13445</v>
      </c>
      <c r="K221" s="2">
        <v>41913</v>
      </c>
      <c r="L221">
        <v>10</v>
      </c>
      <c r="M221" s="1" t="s">
        <v>37</v>
      </c>
      <c r="N221" s="1" t="s">
        <v>84</v>
      </c>
      <c r="O221">
        <v>2014</v>
      </c>
      <c r="P221">
        <v>18823</v>
      </c>
      <c r="Q221">
        <v>17881.849999999999</v>
      </c>
      <c r="R221">
        <v>4436.8499999999985</v>
      </c>
      <c r="S221" s="22">
        <v>0.24812030075187963</v>
      </c>
      <c r="T221" t="str" cm="1">
        <f t="array" ref="T221">_xlfn.SWITCH(TRUE,data[[#This Row],[Profit Margin]]&lt;0,"Negative",data[[#This Row],[Profit Margin]]&lt;0.1,"Low",data[[#This Row],[Profit Margin]]&lt;0.2,"Medium","High")</f>
        <v>High</v>
      </c>
    </row>
    <row r="222" spans="1:20" x14ac:dyDescent="0.35">
      <c r="A222">
        <v>221</v>
      </c>
      <c r="B222" s="1" t="s">
        <v>18</v>
      </c>
      <c r="C222" s="1" t="s">
        <v>27</v>
      </c>
      <c r="D222" s="1" t="s">
        <v>45</v>
      </c>
      <c r="E222" s="1" t="s">
        <v>48</v>
      </c>
      <c r="F222">
        <v>1683</v>
      </c>
      <c r="G222">
        <v>260</v>
      </c>
      <c r="H222">
        <v>7</v>
      </c>
      <c r="I222">
        <v>589.04999999999995</v>
      </c>
      <c r="J222">
        <v>8415</v>
      </c>
      <c r="K222" s="2">
        <v>41821</v>
      </c>
      <c r="L222">
        <v>7</v>
      </c>
      <c r="M222" s="1" t="s">
        <v>33</v>
      </c>
      <c r="N222" s="1" t="s">
        <v>81</v>
      </c>
      <c r="O222">
        <v>2014</v>
      </c>
      <c r="P222">
        <v>11781</v>
      </c>
      <c r="Q222">
        <v>11191.95</v>
      </c>
      <c r="R222">
        <v>2776.9500000000007</v>
      </c>
      <c r="S222" s="22">
        <v>0.24812030075187974</v>
      </c>
      <c r="T222" t="str" cm="1">
        <f t="array" ref="T222">_xlfn.SWITCH(TRUE,data[[#This Row],[Profit Margin]]&lt;0,"Negative",data[[#This Row],[Profit Margin]]&lt;0.1,"Low",data[[#This Row],[Profit Margin]]&lt;0.2,"Medium","High")</f>
        <v>High</v>
      </c>
    </row>
    <row r="223" spans="1:20" x14ac:dyDescent="0.35">
      <c r="A223">
        <v>222</v>
      </c>
      <c r="B223" s="1" t="s">
        <v>31</v>
      </c>
      <c r="C223" s="1" t="s">
        <v>27</v>
      </c>
      <c r="D223" s="1" t="s">
        <v>45</v>
      </c>
      <c r="E223" s="1" t="s">
        <v>48</v>
      </c>
      <c r="F223">
        <v>1123</v>
      </c>
      <c r="G223">
        <v>260</v>
      </c>
      <c r="H223">
        <v>12</v>
      </c>
      <c r="I223">
        <v>673.8</v>
      </c>
      <c r="J223">
        <v>3369</v>
      </c>
      <c r="K223" s="2">
        <v>41852</v>
      </c>
      <c r="L223">
        <v>8</v>
      </c>
      <c r="M223" s="1" t="s">
        <v>35</v>
      </c>
      <c r="N223" s="1" t="s">
        <v>82</v>
      </c>
      <c r="O223">
        <v>2014</v>
      </c>
      <c r="P223">
        <v>13476</v>
      </c>
      <c r="Q223">
        <v>12802.2</v>
      </c>
      <c r="R223">
        <v>9433.2000000000007</v>
      </c>
      <c r="S223" s="22">
        <v>0.73684210526315796</v>
      </c>
      <c r="T223" t="str" cm="1">
        <f t="array" ref="T223">_xlfn.SWITCH(TRUE,data[[#This Row],[Profit Margin]]&lt;0,"Negative",data[[#This Row],[Profit Margin]]&lt;0.1,"Low",data[[#This Row],[Profit Margin]]&lt;0.2,"Medium","High")</f>
        <v>High</v>
      </c>
    </row>
    <row r="224" spans="1:20" x14ac:dyDescent="0.35">
      <c r="A224">
        <v>223</v>
      </c>
      <c r="B224" s="1" t="s">
        <v>18</v>
      </c>
      <c r="C224" s="1" t="s">
        <v>23</v>
      </c>
      <c r="D224" s="1" t="s">
        <v>45</v>
      </c>
      <c r="E224" s="1" t="s">
        <v>48</v>
      </c>
      <c r="F224">
        <v>1159</v>
      </c>
      <c r="G224">
        <v>260</v>
      </c>
      <c r="H224">
        <v>7</v>
      </c>
      <c r="I224">
        <v>405.65</v>
      </c>
      <c r="J224">
        <v>5795</v>
      </c>
      <c r="K224" s="2">
        <v>41548</v>
      </c>
      <c r="L224">
        <v>10</v>
      </c>
      <c r="M224" s="1" t="s">
        <v>37</v>
      </c>
      <c r="N224" s="1" t="s">
        <v>84</v>
      </c>
      <c r="O224">
        <v>2013</v>
      </c>
      <c r="P224">
        <v>8113</v>
      </c>
      <c r="Q224">
        <v>7707.35</v>
      </c>
      <c r="R224">
        <v>1912.3500000000004</v>
      </c>
      <c r="S224" s="22">
        <v>0.24812030075187974</v>
      </c>
      <c r="T224" t="str" cm="1">
        <f t="array" ref="T224">_xlfn.SWITCH(TRUE,data[[#This Row],[Profit Margin]]&lt;0,"Negative",data[[#This Row],[Profit Margin]]&lt;0.1,"Low",data[[#This Row],[Profit Margin]]&lt;0.2,"Medium","High")</f>
        <v>High</v>
      </c>
    </row>
    <row r="225" spans="1:20" x14ac:dyDescent="0.35">
      <c r="A225">
        <v>224</v>
      </c>
      <c r="B225" s="1" t="s">
        <v>31</v>
      </c>
      <c r="C225" s="1" t="s">
        <v>25</v>
      </c>
      <c r="D225" s="1" t="s">
        <v>20</v>
      </c>
      <c r="E225" s="1" t="s">
        <v>48</v>
      </c>
      <c r="F225">
        <v>1865</v>
      </c>
      <c r="G225">
        <v>3</v>
      </c>
      <c r="H225">
        <v>12</v>
      </c>
      <c r="I225">
        <v>1119</v>
      </c>
      <c r="J225">
        <v>5595</v>
      </c>
      <c r="K225" s="2">
        <v>41671</v>
      </c>
      <c r="L225">
        <v>2</v>
      </c>
      <c r="M225" s="1" t="s">
        <v>40</v>
      </c>
      <c r="N225" s="1" t="s">
        <v>85</v>
      </c>
      <c r="O225">
        <v>2014</v>
      </c>
      <c r="P225">
        <v>22380</v>
      </c>
      <c r="Q225">
        <v>21261</v>
      </c>
      <c r="R225">
        <v>15666</v>
      </c>
      <c r="S225" s="22">
        <v>0.73684210526315785</v>
      </c>
      <c r="T225" t="str" cm="1">
        <f t="array" ref="T225">_xlfn.SWITCH(TRUE,data[[#This Row],[Profit Margin]]&lt;0,"Negative",data[[#This Row],[Profit Margin]]&lt;0.1,"Low",data[[#This Row],[Profit Margin]]&lt;0.2,"Medium","High")</f>
        <v>High</v>
      </c>
    </row>
    <row r="226" spans="1:20" x14ac:dyDescent="0.35">
      <c r="A226">
        <v>225</v>
      </c>
      <c r="B226" s="1" t="s">
        <v>31</v>
      </c>
      <c r="C226" s="1" t="s">
        <v>23</v>
      </c>
      <c r="D226" s="1" t="s">
        <v>20</v>
      </c>
      <c r="E226" s="1" t="s">
        <v>48</v>
      </c>
      <c r="F226">
        <v>1116</v>
      </c>
      <c r="G226">
        <v>3</v>
      </c>
      <c r="H226">
        <v>12</v>
      </c>
      <c r="I226">
        <v>669.6</v>
      </c>
      <c r="J226">
        <v>3348</v>
      </c>
      <c r="K226" s="2">
        <v>41671</v>
      </c>
      <c r="L226">
        <v>2</v>
      </c>
      <c r="M226" s="1" t="s">
        <v>40</v>
      </c>
      <c r="N226" s="1" t="s">
        <v>85</v>
      </c>
      <c r="O226">
        <v>2014</v>
      </c>
      <c r="P226">
        <v>13392</v>
      </c>
      <c r="Q226">
        <v>12722.4</v>
      </c>
      <c r="R226">
        <v>9374.4</v>
      </c>
      <c r="S226" s="22">
        <v>0.73684210526315785</v>
      </c>
      <c r="T226" t="str" cm="1">
        <f t="array" ref="T226">_xlfn.SWITCH(TRUE,data[[#This Row],[Profit Margin]]&lt;0,"Negative",data[[#This Row],[Profit Margin]]&lt;0.1,"Low",data[[#This Row],[Profit Margin]]&lt;0.2,"Medium","High")</f>
        <v>High</v>
      </c>
    </row>
    <row r="227" spans="1:20" x14ac:dyDescent="0.35">
      <c r="A227">
        <v>226</v>
      </c>
      <c r="B227" s="1" t="s">
        <v>18</v>
      </c>
      <c r="C227" s="1" t="s">
        <v>25</v>
      </c>
      <c r="D227" s="1" t="s">
        <v>20</v>
      </c>
      <c r="E227" s="1" t="s">
        <v>48</v>
      </c>
      <c r="F227">
        <v>1563</v>
      </c>
      <c r="G227">
        <v>3</v>
      </c>
      <c r="H227">
        <v>20</v>
      </c>
      <c r="I227">
        <v>1563</v>
      </c>
      <c r="J227">
        <v>15630</v>
      </c>
      <c r="K227" s="2">
        <v>41760</v>
      </c>
      <c r="L227">
        <v>5</v>
      </c>
      <c r="M227" s="1" t="s">
        <v>47</v>
      </c>
      <c r="N227" s="1" t="s">
        <v>47</v>
      </c>
      <c r="O227">
        <v>2014</v>
      </c>
      <c r="P227">
        <v>31260</v>
      </c>
      <c r="Q227">
        <v>29697</v>
      </c>
      <c r="R227">
        <v>14067</v>
      </c>
      <c r="S227" s="22">
        <v>0.47368421052631576</v>
      </c>
      <c r="T227" t="str" cm="1">
        <f t="array" ref="T227">_xlfn.SWITCH(TRUE,data[[#This Row],[Profit Margin]]&lt;0,"Negative",data[[#This Row],[Profit Margin]]&lt;0.1,"Low",data[[#This Row],[Profit Margin]]&lt;0.2,"Medium","High")</f>
        <v>High</v>
      </c>
    </row>
    <row r="228" spans="1:20" x14ac:dyDescent="0.35">
      <c r="A228">
        <v>227</v>
      </c>
      <c r="B228" s="1" t="s">
        <v>34</v>
      </c>
      <c r="C228" s="1" t="s">
        <v>38</v>
      </c>
      <c r="D228" s="1" t="s">
        <v>20</v>
      </c>
      <c r="E228" s="1" t="s">
        <v>48</v>
      </c>
      <c r="F228">
        <v>991</v>
      </c>
      <c r="G228">
        <v>3</v>
      </c>
      <c r="H228">
        <v>300</v>
      </c>
      <c r="I228">
        <v>14865</v>
      </c>
      <c r="J228">
        <v>247750</v>
      </c>
      <c r="K228" s="2">
        <v>41791</v>
      </c>
      <c r="L228">
        <v>6</v>
      </c>
      <c r="M228" s="1" t="s">
        <v>26</v>
      </c>
      <c r="N228" s="1" t="s">
        <v>78</v>
      </c>
      <c r="O228">
        <v>2014</v>
      </c>
      <c r="P228">
        <v>297300</v>
      </c>
      <c r="Q228">
        <v>282435</v>
      </c>
      <c r="R228">
        <v>34685</v>
      </c>
      <c r="S228" s="22">
        <v>0.12280701754385964</v>
      </c>
      <c r="T228" t="str" cm="1">
        <f t="array" ref="T228">_xlfn.SWITCH(TRUE,data[[#This Row],[Profit Margin]]&lt;0,"Negative",data[[#This Row],[Profit Margin]]&lt;0.1,"Low",data[[#This Row],[Profit Margin]]&lt;0.2,"Medium","High")</f>
        <v>Medium</v>
      </c>
    </row>
    <row r="229" spans="1:20" x14ac:dyDescent="0.35">
      <c r="A229">
        <v>228</v>
      </c>
      <c r="B229" s="1" t="s">
        <v>18</v>
      </c>
      <c r="C229" s="1" t="s">
        <v>23</v>
      </c>
      <c r="D229" s="1" t="s">
        <v>20</v>
      </c>
      <c r="E229" s="1" t="s">
        <v>48</v>
      </c>
      <c r="F229">
        <v>1016</v>
      </c>
      <c r="G229">
        <v>3</v>
      </c>
      <c r="H229">
        <v>7</v>
      </c>
      <c r="I229">
        <v>355.6</v>
      </c>
      <c r="J229">
        <v>5080</v>
      </c>
      <c r="K229" s="2">
        <v>41579</v>
      </c>
      <c r="L229">
        <v>11</v>
      </c>
      <c r="M229" s="1" t="s">
        <v>41</v>
      </c>
      <c r="N229" s="1" t="s">
        <v>86</v>
      </c>
      <c r="O229">
        <v>2013</v>
      </c>
      <c r="P229">
        <v>7112</v>
      </c>
      <c r="Q229">
        <v>6756.4</v>
      </c>
      <c r="R229">
        <v>1676.3999999999996</v>
      </c>
      <c r="S229" s="22">
        <v>0.24812030075187966</v>
      </c>
      <c r="T229" t="str" cm="1">
        <f t="array" ref="T229">_xlfn.SWITCH(TRUE,data[[#This Row],[Profit Margin]]&lt;0,"Negative",data[[#This Row],[Profit Margin]]&lt;0.1,"Low",data[[#This Row],[Profit Margin]]&lt;0.2,"Medium","High")</f>
        <v>High</v>
      </c>
    </row>
    <row r="230" spans="1:20" x14ac:dyDescent="0.35">
      <c r="A230">
        <v>229</v>
      </c>
      <c r="B230" s="1" t="s">
        <v>24</v>
      </c>
      <c r="C230" s="1" t="s">
        <v>27</v>
      </c>
      <c r="D230" s="1" t="s">
        <v>20</v>
      </c>
      <c r="E230" s="1" t="s">
        <v>48</v>
      </c>
      <c r="F230">
        <v>2791</v>
      </c>
      <c r="G230">
        <v>3</v>
      </c>
      <c r="H230">
        <v>15</v>
      </c>
      <c r="I230">
        <v>2093.25</v>
      </c>
      <c r="J230">
        <v>27910</v>
      </c>
      <c r="K230" s="2">
        <v>41944</v>
      </c>
      <c r="L230">
        <v>11</v>
      </c>
      <c r="M230" s="1" t="s">
        <v>41</v>
      </c>
      <c r="N230" s="1" t="s">
        <v>86</v>
      </c>
      <c r="O230">
        <v>2014</v>
      </c>
      <c r="P230">
        <v>41865</v>
      </c>
      <c r="Q230">
        <v>39771.75</v>
      </c>
      <c r="R230">
        <v>11861.75</v>
      </c>
      <c r="S230" s="22">
        <v>0.2982456140350877</v>
      </c>
      <c r="T230" t="str" cm="1">
        <f t="array" ref="T230">_xlfn.SWITCH(TRUE,data[[#This Row],[Profit Margin]]&lt;0,"Negative",data[[#This Row],[Profit Margin]]&lt;0.1,"Low",data[[#This Row],[Profit Margin]]&lt;0.2,"Medium","High")</f>
        <v>High</v>
      </c>
    </row>
    <row r="231" spans="1:20" x14ac:dyDescent="0.35">
      <c r="A231">
        <v>230</v>
      </c>
      <c r="B231" s="1" t="s">
        <v>18</v>
      </c>
      <c r="C231" s="1" t="s">
        <v>38</v>
      </c>
      <c r="D231" s="1" t="s">
        <v>20</v>
      </c>
      <c r="E231" s="1" t="s">
        <v>48</v>
      </c>
      <c r="F231">
        <v>570</v>
      </c>
      <c r="G231">
        <v>3</v>
      </c>
      <c r="H231">
        <v>7</v>
      </c>
      <c r="I231">
        <v>199.5</v>
      </c>
      <c r="J231">
        <v>2850</v>
      </c>
      <c r="K231" s="2">
        <v>41974</v>
      </c>
      <c r="L231">
        <v>12</v>
      </c>
      <c r="M231" s="1" t="s">
        <v>28</v>
      </c>
      <c r="N231" s="1" t="s">
        <v>79</v>
      </c>
      <c r="O231">
        <v>2014</v>
      </c>
      <c r="P231">
        <v>3990</v>
      </c>
      <c r="Q231">
        <v>3790.5</v>
      </c>
      <c r="R231">
        <v>940.5</v>
      </c>
      <c r="S231" s="22">
        <v>0.24812030075187969</v>
      </c>
      <c r="T231" t="str" cm="1">
        <f t="array" ref="T231">_xlfn.SWITCH(TRUE,data[[#This Row],[Profit Margin]]&lt;0,"Negative",data[[#This Row],[Profit Margin]]&lt;0.1,"Low",data[[#This Row],[Profit Margin]]&lt;0.2,"Medium","High")</f>
        <v>High</v>
      </c>
    </row>
    <row r="232" spans="1:20" x14ac:dyDescent="0.35">
      <c r="A232">
        <v>231</v>
      </c>
      <c r="B232" s="1" t="s">
        <v>18</v>
      </c>
      <c r="C232" s="1" t="s">
        <v>25</v>
      </c>
      <c r="D232" s="1" t="s">
        <v>20</v>
      </c>
      <c r="E232" s="1" t="s">
        <v>48</v>
      </c>
      <c r="F232">
        <v>2487</v>
      </c>
      <c r="G232">
        <v>3</v>
      </c>
      <c r="H232">
        <v>7</v>
      </c>
      <c r="I232">
        <v>870.45</v>
      </c>
      <c r="J232">
        <v>12435</v>
      </c>
      <c r="K232" s="2">
        <v>41974</v>
      </c>
      <c r="L232">
        <v>12</v>
      </c>
      <c r="M232" s="1" t="s">
        <v>28</v>
      </c>
      <c r="N232" s="1" t="s">
        <v>79</v>
      </c>
      <c r="O232">
        <v>2014</v>
      </c>
      <c r="P232">
        <v>17409</v>
      </c>
      <c r="Q232">
        <v>16538.55</v>
      </c>
      <c r="R232">
        <v>4103.5499999999993</v>
      </c>
      <c r="S232" s="22">
        <v>0.24812030075187966</v>
      </c>
      <c r="T232" t="str" cm="1">
        <f t="array" ref="T232">_xlfn.SWITCH(TRUE,data[[#This Row],[Profit Margin]]&lt;0,"Negative",data[[#This Row],[Profit Margin]]&lt;0.1,"Low",data[[#This Row],[Profit Margin]]&lt;0.2,"Medium","High")</f>
        <v>High</v>
      </c>
    </row>
    <row r="233" spans="1:20" x14ac:dyDescent="0.35">
      <c r="A233">
        <v>232</v>
      </c>
      <c r="B233" s="1" t="s">
        <v>18</v>
      </c>
      <c r="C233" s="1" t="s">
        <v>25</v>
      </c>
      <c r="D233" s="1" t="s">
        <v>29</v>
      </c>
      <c r="E233" s="1" t="s">
        <v>48</v>
      </c>
      <c r="F233">
        <v>1384.5</v>
      </c>
      <c r="G233">
        <v>5</v>
      </c>
      <c r="H233">
        <v>350</v>
      </c>
      <c r="I233">
        <v>24228.75</v>
      </c>
      <c r="J233">
        <v>359970</v>
      </c>
      <c r="K233" s="2">
        <v>41640</v>
      </c>
      <c r="L233">
        <v>1</v>
      </c>
      <c r="M233" s="1" t="s">
        <v>22</v>
      </c>
      <c r="N233" s="1" t="s">
        <v>77</v>
      </c>
      <c r="O233">
        <v>2014</v>
      </c>
      <c r="P233">
        <v>484575</v>
      </c>
      <c r="Q233">
        <v>460346.25</v>
      </c>
      <c r="R233">
        <v>100376.25</v>
      </c>
      <c r="S233" s="22">
        <v>0.21804511278195488</v>
      </c>
      <c r="T233" t="str" cm="1">
        <f t="array" ref="T233">_xlfn.SWITCH(TRUE,data[[#This Row],[Profit Margin]]&lt;0,"Negative",data[[#This Row],[Profit Margin]]&lt;0.1,"Low",data[[#This Row],[Profit Margin]]&lt;0.2,"Medium","High")</f>
        <v>High</v>
      </c>
    </row>
    <row r="234" spans="1:20" x14ac:dyDescent="0.35">
      <c r="A234">
        <v>233</v>
      </c>
      <c r="B234" s="1" t="s">
        <v>32</v>
      </c>
      <c r="C234" s="1" t="s">
        <v>38</v>
      </c>
      <c r="D234" s="1" t="s">
        <v>29</v>
      </c>
      <c r="E234" s="1" t="s">
        <v>48</v>
      </c>
      <c r="F234">
        <v>3627</v>
      </c>
      <c r="G234">
        <v>5</v>
      </c>
      <c r="H234">
        <v>125</v>
      </c>
      <c r="I234">
        <v>22668.75</v>
      </c>
      <c r="J234">
        <v>435240</v>
      </c>
      <c r="K234" s="2">
        <v>41821</v>
      </c>
      <c r="L234">
        <v>7</v>
      </c>
      <c r="M234" s="1" t="s">
        <v>33</v>
      </c>
      <c r="N234" s="1" t="s">
        <v>81</v>
      </c>
      <c r="O234">
        <v>2014</v>
      </c>
      <c r="P234">
        <v>453375</v>
      </c>
      <c r="Q234">
        <v>430706.25</v>
      </c>
      <c r="R234">
        <v>-4533.75</v>
      </c>
      <c r="S234" s="22">
        <v>-1.0526315789473684E-2</v>
      </c>
      <c r="T234" t="str" cm="1">
        <f t="array" ref="T234">_xlfn.SWITCH(TRUE,data[[#This Row],[Profit Margin]]&lt;0,"Negative",data[[#This Row],[Profit Margin]]&lt;0.1,"Low",data[[#This Row],[Profit Margin]]&lt;0.2,"Medium","High")</f>
        <v>Negative</v>
      </c>
    </row>
    <row r="235" spans="1:20" x14ac:dyDescent="0.35">
      <c r="A235">
        <v>234</v>
      </c>
      <c r="B235" s="1" t="s">
        <v>18</v>
      </c>
      <c r="C235" s="1" t="s">
        <v>27</v>
      </c>
      <c r="D235" s="1" t="s">
        <v>29</v>
      </c>
      <c r="E235" s="1" t="s">
        <v>48</v>
      </c>
      <c r="F235">
        <v>720</v>
      </c>
      <c r="G235">
        <v>5</v>
      </c>
      <c r="H235">
        <v>350</v>
      </c>
      <c r="I235">
        <v>12600</v>
      </c>
      <c r="J235">
        <v>187200</v>
      </c>
      <c r="K235" s="2">
        <v>41518</v>
      </c>
      <c r="L235">
        <v>9</v>
      </c>
      <c r="M235" s="1" t="s">
        <v>36</v>
      </c>
      <c r="N235" s="1" t="s">
        <v>83</v>
      </c>
      <c r="O235">
        <v>2013</v>
      </c>
      <c r="P235">
        <v>252000</v>
      </c>
      <c r="Q235">
        <v>239400</v>
      </c>
      <c r="R235">
        <v>52200</v>
      </c>
      <c r="S235" s="22">
        <v>0.21804511278195488</v>
      </c>
      <c r="T235" t="str" cm="1">
        <f t="array" ref="T235">_xlfn.SWITCH(TRUE,data[[#This Row],[Profit Margin]]&lt;0,"Negative",data[[#This Row],[Profit Margin]]&lt;0.1,"Low",data[[#This Row],[Profit Margin]]&lt;0.2,"Medium","High")</f>
        <v>High</v>
      </c>
    </row>
    <row r="236" spans="1:20" x14ac:dyDescent="0.35">
      <c r="A236">
        <v>235</v>
      </c>
      <c r="B236" s="1" t="s">
        <v>31</v>
      </c>
      <c r="C236" s="1" t="s">
        <v>23</v>
      </c>
      <c r="D236" s="1" t="s">
        <v>29</v>
      </c>
      <c r="E236" s="1" t="s">
        <v>48</v>
      </c>
      <c r="F236">
        <v>2342</v>
      </c>
      <c r="G236">
        <v>5</v>
      </c>
      <c r="H236">
        <v>12</v>
      </c>
      <c r="I236">
        <v>1405.2</v>
      </c>
      <c r="J236">
        <v>7026</v>
      </c>
      <c r="K236" s="2">
        <v>41944</v>
      </c>
      <c r="L236">
        <v>11</v>
      </c>
      <c r="M236" s="1" t="s">
        <v>41</v>
      </c>
      <c r="N236" s="1" t="s">
        <v>86</v>
      </c>
      <c r="O236">
        <v>2014</v>
      </c>
      <c r="P236">
        <v>28104</v>
      </c>
      <c r="Q236">
        <v>26698.799999999999</v>
      </c>
      <c r="R236">
        <v>19672.8</v>
      </c>
      <c r="S236" s="22">
        <v>0.73684210526315785</v>
      </c>
      <c r="T236" t="str" cm="1">
        <f t="array" ref="T236">_xlfn.SWITCH(TRUE,data[[#This Row],[Profit Margin]]&lt;0,"Negative",data[[#This Row],[Profit Margin]]&lt;0.1,"Low",data[[#This Row],[Profit Margin]]&lt;0.2,"Medium","High")</f>
        <v>High</v>
      </c>
    </row>
    <row r="237" spans="1:20" x14ac:dyDescent="0.35">
      <c r="A237">
        <v>236</v>
      </c>
      <c r="B237" s="1" t="s">
        <v>34</v>
      </c>
      <c r="C237" s="1" t="s">
        <v>27</v>
      </c>
      <c r="D237" s="1" t="s">
        <v>29</v>
      </c>
      <c r="E237" s="1" t="s">
        <v>48</v>
      </c>
      <c r="F237">
        <v>1100</v>
      </c>
      <c r="G237">
        <v>5</v>
      </c>
      <c r="H237">
        <v>300</v>
      </c>
      <c r="I237">
        <v>16500</v>
      </c>
      <c r="J237">
        <v>275000</v>
      </c>
      <c r="K237" s="2">
        <v>41609</v>
      </c>
      <c r="L237">
        <v>12</v>
      </c>
      <c r="M237" s="1" t="s">
        <v>28</v>
      </c>
      <c r="N237" s="1" t="s">
        <v>79</v>
      </c>
      <c r="O237">
        <v>2013</v>
      </c>
      <c r="P237">
        <v>330000</v>
      </c>
      <c r="Q237">
        <v>313500</v>
      </c>
      <c r="R237">
        <v>38500</v>
      </c>
      <c r="S237" s="22">
        <v>0.12280701754385964</v>
      </c>
      <c r="T237" t="str" cm="1">
        <f t="array" ref="T237">_xlfn.SWITCH(TRUE,data[[#This Row],[Profit Margin]]&lt;0,"Negative",data[[#This Row],[Profit Margin]]&lt;0.1,"Low",data[[#This Row],[Profit Margin]]&lt;0.2,"Medium","High")</f>
        <v>Medium</v>
      </c>
    </row>
    <row r="238" spans="1:20" x14ac:dyDescent="0.35">
      <c r="A238">
        <v>237</v>
      </c>
      <c r="B238" s="1" t="s">
        <v>18</v>
      </c>
      <c r="C238" s="1" t="s">
        <v>25</v>
      </c>
      <c r="D238" s="1" t="s">
        <v>39</v>
      </c>
      <c r="E238" s="1" t="s">
        <v>48</v>
      </c>
      <c r="F238">
        <v>1303</v>
      </c>
      <c r="G238">
        <v>10</v>
      </c>
      <c r="H238">
        <v>20</v>
      </c>
      <c r="I238">
        <v>1303</v>
      </c>
      <c r="J238">
        <v>13030</v>
      </c>
      <c r="K238" s="2">
        <v>41671</v>
      </c>
      <c r="L238">
        <v>2</v>
      </c>
      <c r="M238" s="1" t="s">
        <v>40</v>
      </c>
      <c r="N238" s="1" t="s">
        <v>85</v>
      </c>
      <c r="O238">
        <v>2014</v>
      </c>
      <c r="P238">
        <v>26060</v>
      </c>
      <c r="Q238">
        <v>24757</v>
      </c>
      <c r="R238">
        <v>11727</v>
      </c>
      <c r="S238" s="22">
        <v>0.47368421052631576</v>
      </c>
      <c r="T238" t="str" cm="1">
        <f t="array" ref="T238">_xlfn.SWITCH(TRUE,data[[#This Row],[Profit Margin]]&lt;0,"Negative",data[[#This Row],[Profit Margin]]&lt;0.1,"Low",data[[#This Row],[Profit Margin]]&lt;0.2,"Medium","High")</f>
        <v>High</v>
      </c>
    </row>
    <row r="239" spans="1:20" x14ac:dyDescent="0.35">
      <c r="A239">
        <v>238</v>
      </c>
      <c r="B239" s="1" t="s">
        <v>32</v>
      </c>
      <c r="C239" s="1" t="s">
        <v>38</v>
      </c>
      <c r="D239" s="1" t="s">
        <v>39</v>
      </c>
      <c r="E239" s="1" t="s">
        <v>48</v>
      </c>
      <c r="F239">
        <v>2992</v>
      </c>
      <c r="G239">
        <v>10</v>
      </c>
      <c r="H239">
        <v>125</v>
      </c>
      <c r="I239">
        <v>18700</v>
      </c>
      <c r="J239">
        <v>359040</v>
      </c>
      <c r="K239" s="2">
        <v>41699</v>
      </c>
      <c r="L239">
        <v>3</v>
      </c>
      <c r="M239" s="1" t="s">
        <v>30</v>
      </c>
      <c r="N239" s="1" t="s">
        <v>80</v>
      </c>
      <c r="O239">
        <v>2014</v>
      </c>
      <c r="P239">
        <v>374000</v>
      </c>
      <c r="Q239">
        <v>355300</v>
      </c>
      <c r="R239">
        <v>-3740</v>
      </c>
      <c r="S239" s="22">
        <v>-1.0526315789473684E-2</v>
      </c>
      <c r="T239" t="str" cm="1">
        <f t="array" ref="T239">_xlfn.SWITCH(TRUE,data[[#This Row],[Profit Margin]]&lt;0,"Negative",data[[#This Row],[Profit Margin]]&lt;0.1,"Low",data[[#This Row],[Profit Margin]]&lt;0.2,"Medium","High")</f>
        <v>Negative</v>
      </c>
    </row>
    <row r="240" spans="1:20" x14ac:dyDescent="0.35">
      <c r="A240">
        <v>239</v>
      </c>
      <c r="B240" s="1" t="s">
        <v>32</v>
      </c>
      <c r="C240" s="1" t="s">
        <v>25</v>
      </c>
      <c r="D240" s="1" t="s">
        <v>39</v>
      </c>
      <c r="E240" s="1" t="s">
        <v>48</v>
      </c>
      <c r="F240">
        <v>2385</v>
      </c>
      <c r="G240">
        <v>10</v>
      </c>
      <c r="H240">
        <v>125</v>
      </c>
      <c r="I240">
        <v>14906.25</v>
      </c>
      <c r="J240">
        <v>286200</v>
      </c>
      <c r="K240" s="2">
        <v>41699</v>
      </c>
      <c r="L240">
        <v>3</v>
      </c>
      <c r="M240" s="1" t="s">
        <v>30</v>
      </c>
      <c r="N240" s="1" t="s">
        <v>80</v>
      </c>
      <c r="O240">
        <v>2014</v>
      </c>
      <c r="P240">
        <v>298125</v>
      </c>
      <c r="Q240">
        <v>283218.75</v>
      </c>
      <c r="R240">
        <v>-2981.25</v>
      </c>
      <c r="S240" s="22">
        <v>-1.0526315789473684E-2</v>
      </c>
      <c r="T240" t="str" cm="1">
        <f t="array" ref="T240">_xlfn.SWITCH(TRUE,data[[#This Row],[Profit Margin]]&lt;0,"Negative",data[[#This Row],[Profit Margin]]&lt;0.1,"Low",data[[#This Row],[Profit Margin]]&lt;0.2,"Medium","High")</f>
        <v>Negative</v>
      </c>
    </row>
    <row r="241" spans="1:20" x14ac:dyDescent="0.35">
      <c r="A241">
        <v>240</v>
      </c>
      <c r="B241" s="1" t="s">
        <v>34</v>
      </c>
      <c r="C241" s="1" t="s">
        <v>27</v>
      </c>
      <c r="D241" s="1" t="s">
        <v>39</v>
      </c>
      <c r="E241" s="1" t="s">
        <v>48</v>
      </c>
      <c r="F241">
        <v>1607</v>
      </c>
      <c r="G241">
        <v>10</v>
      </c>
      <c r="H241">
        <v>300</v>
      </c>
      <c r="I241">
        <v>24105</v>
      </c>
      <c r="J241">
        <v>401750</v>
      </c>
      <c r="K241" s="2">
        <v>41730</v>
      </c>
      <c r="L241">
        <v>4</v>
      </c>
      <c r="M241" s="1" t="s">
        <v>44</v>
      </c>
      <c r="N241" s="1" t="s">
        <v>87</v>
      </c>
      <c r="O241">
        <v>2014</v>
      </c>
      <c r="P241">
        <v>482100</v>
      </c>
      <c r="Q241">
        <v>457995</v>
      </c>
      <c r="R241">
        <v>56245</v>
      </c>
      <c r="S241" s="22">
        <v>0.12280701754385964</v>
      </c>
      <c r="T241" t="str" cm="1">
        <f t="array" ref="T241">_xlfn.SWITCH(TRUE,data[[#This Row],[Profit Margin]]&lt;0,"Negative",data[[#This Row],[Profit Margin]]&lt;0.1,"Low",data[[#This Row],[Profit Margin]]&lt;0.2,"Medium","High")</f>
        <v>Medium</v>
      </c>
    </row>
    <row r="242" spans="1:20" x14ac:dyDescent="0.35">
      <c r="A242">
        <v>241</v>
      </c>
      <c r="B242" s="1" t="s">
        <v>18</v>
      </c>
      <c r="C242" s="1" t="s">
        <v>38</v>
      </c>
      <c r="D242" s="1" t="s">
        <v>39</v>
      </c>
      <c r="E242" s="1" t="s">
        <v>48</v>
      </c>
      <c r="F242">
        <v>2327</v>
      </c>
      <c r="G242">
        <v>10</v>
      </c>
      <c r="H242">
        <v>7</v>
      </c>
      <c r="I242">
        <v>814.45</v>
      </c>
      <c r="J242">
        <v>11635</v>
      </c>
      <c r="K242" s="2">
        <v>41760</v>
      </c>
      <c r="L242">
        <v>5</v>
      </c>
      <c r="M242" s="1" t="s">
        <v>47</v>
      </c>
      <c r="N242" s="1" t="s">
        <v>47</v>
      </c>
      <c r="O242">
        <v>2014</v>
      </c>
      <c r="P242">
        <v>16289</v>
      </c>
      <c r="Q242">
        <v>15474.55</v>
      </c>
      <c r="R242">
        <v>3839.5499999999993</v>
      </c>
      <c r="S242" s="22">
        <v>0.24812030075187966</v>
      </c>
      <c r="T242" t="str" cm="1">
        <f t="array" ref="T242">_xlfn.SWITCH(TRUE,data[[#This Row],[Profit Margin]]&lt;0,"Negative",data[[#This Row],[Profit Margin]]&lt;0.1,"Low",data[[#This Row],[Profit Margin]]&lt;0.2,"Medium","High")</f>
        <v>High</v>
      </c>
    </row>
    <row r="243" spans="1:20" x14ac:dyDescent="0.35">
      <c r="A243">
        <v>242</v>
      </c>
      <c r="B243" s="1" t="s">
        <v>34</v>
      </c>
      <c r="C243" s="1" t="s">
        <v>38</v>
      </c>
      <c r="D243" s="1" t="s">
        <v>39</v>
      </c>
      <c r="E243" s="1" t="s">
        <v>48</v>
      </c>
      <c r="F243">
        <v>991</v>
      </c>
      <c r="G243">
        <v>10</v>
      </c>
      <c r="H243">
        <v>300</v>
      </c>
      <c r="I243">
        <v>14865</v>
      </c>
      <c r="J243">
        <v>247750</v>
      </c>
      <c r="K243" s="2">
        <v>41791</v>
      </c>
      <c r="L243">
        <v>6</v>
      </c>
      <c r="M243" s="1" t="s">
        <v>26</v>
      </c>
      <c r="N243" s="1" t="s">
        <v>78</v>
      </c>
      <c r="O243">
        <v>2014</v>
      </c>
      <c r="P243">
        <v>297300</v>
      </c>
      <c r="Q243">
        <v>282435</v>
      </c>
      <c r="R243">
        <v>34685</v>
      </c>
      <c r="S243" s="22">
        <v>0.12280701754385964</v>
      </c>
      <c r="T243" t="str" cm="1">
        <f t="array" ref="T243">_xlfn.SWITCH(TRUE,data[[#This Row],[Profit Margin]]&lt;0,"Negative",data[[#This Row],[Profit Margin]]&lt;0.1,"Low",data[[#This Row],[Profit Margin]]&lt;0.2,"Medium","High")</f>
        <v>Medium</v>
      </c>
    </row>
    <row r="244" spans="1:20" x14ac:dyDescent="0.35">
      <c r="A244">
        <v>243</v>
      </c>
      <c r="B244" s="1" t="s">
        <v>18</v>
      </c>
      <c r="C244" s="1" t="s">
        <v>38</v>
      </c>
      <c r="D244" s="1" t="s">
        <v>39</v>
      </c>
      <c r="E244" s="1" t="s">
        <v>48</v>
      </c>
      <c r="F244">
        <v>602</v>
      </c>
      <c r="G244">
        <v>10</v>
      </c>
      <c r="H244">
        <v>350</v>
      </c>
      <c r="I244">
        <v>10535</v>
      </c>
      <c r="J244">
        <v>156520</v>
      </c>
      <c r="K244" s="2">
        <v>41791</v>
      </c>
      <c r="L244">
        <v>6</v>
      </c>
      <c r="M244" s="1" t="s">
        <v>26</v>
      </c>
      <c r="N244" s="1" t="s">
        <v>78</v>
      </c>
      <c r="O244">
        <v>2014</v>
      </c>
      <c r="P244">
        <v>210700</v>
      </c>
      <c r="Q244">
        <v>200165</v>
      </c>
      <c r="R244">
        <v>43645</v>
      </c>
      <c r="S244" s="22">
        <v>0.21804511278195488</v>
      </c>
      <c r="T244" t="str" cm="1">
        <f t="array" ref="T244">_xlfn.SWITCH(TRUE,data[[#This Row],[Profit Margin]]&lt;0,"Negative",data[[#This Row],[Profit Margin]]&lt;0.1,"Low",data[[#This Row],[Profit Margin]]&lt;0.2,"Medium","High")</f>
        <v>High</v>
      </c>
    </row>
    <row r="245" spans="1:20" x14ac:dyDescent="0.35">
      <c r="A245">
        <v>244</v>
      </c>
      <c r="B245" s="1" t="s">
        <v>24</v>
      </c>
      <c r="C245" s="1" t="s">
        <v>25</v>
      </c>
      <c r="D245" s="1" t="s">
        <v>39</v>
      </c>
      <c r="E245" s="1" t="s">
        <v>48</v>
      </c>
      <c r="F245">
        <v>2620</v>
      </c>
      <c r="G245">
        <v>10</v>
      </c>
      <c r="H245">
        <v>15</v>
      </c>
      <c r="I245">
        <v>1965</v>
      </c>
      <c r="J245">
        <v>26200</v>
      </c>
      <c r="K245" s="2">
        <v>41883</v>
      </c>
      <c r="L245">
        <v>9</v>
      </c>
      <c r="M245" s="1" t="s">
        <v>36</v>
      </c>
      <c r="N245" s="1" t="s">
        <v>83</v>
      </c>
      <c r="O245">
        <v>2014</v>
      </c>
      <c r="P245">
        <v>39300</v>
      </c>
      <c r="Q245">
        <v>37335</v>
      </c>
      <c r="R245">
        <v>11135</v>
      </c>
      <c r="S245" s="22">
        <v>0.2982456140350877</v>
      </c>
      <c r="T245" t="str" cm="1">
        <f t="array" ref="T245">_xlfn.SWITCH(TRUE,data[[#This Row],[Profit Margin]]&lt;0,"Negative",data[[#This Row],[Profit Margin]]&lt;0.1,"Low",data[[#This Row],[Profit Margin]]&lt;0.2,"Medium","High")</f>
        <v>High</v>
      </c>
    </row>
    <row r="246" spans="1:20" x14ac:dyDescent="0.35">
      <c r="A246">
        <v>245</v>
      </c>
      <c r="B246" s="1" t="s">
        <v>18</v>
      </c>
      <c r="C246" s="1" t="s">
        <v>19</v>
      </c>
      <c r="D246" s="1" t="s">
        <v>39</v>
      </c>
      <c r="E246" s="1" t="s">
        <v>48</v>
      </c>
      <c r="F246">
        <v>1228</v>
      </c>
      <c r="G246">
        <v>10</v>
      </c>
      <c r="H246">
        <v>350</v>
      </c>
      <c r="I246">
        <v>21490</v>
      </c>
      <c r="J246">
        <v>319280</v>
      </c>
      <c r="K246" s="2">
        <v>41548</v>
      </c>
      <c r="L246">
        <v>10</v>
      </c>
      <c r="M246" s="1" t="s">
        <v>37</v>
      </c>
      <c r="N246" s="1" t="s">
        <v>84</v>
      </c>
      <c r="O246">
        <v>2013</v>
      </c>
      <c r="P246">
        <v>429800</v>
      </c>
      <c r="Q246">
        <v>408310</v>
      </c>
      <c r="R246">
        <v>89030</v>
      </c>
      <c r="S246" s="22">
        <v>0.21804511278195488</v>
      </c>
      <c r="T246" t="str" cm="1">
        <f t="array" ref="T246">_xlfn.SWITCH(TRUE,data[[#This Row],[Profit Margin]]&lt;0,"Negative",data[[#This Row],[Profit Margin]]&lt;0.1,"Low",data[[#This Row],[Profit Margin]]&lt;0.2,"Medium","High")</f>
        <v>High</v>
      </c>
    </row>
    <row r="247" spans="1:20" x14ac:dyDescent="0.35">
      <c r="A247">
        <v>246</v>
      </c>
      <c r="B247" s="1" t="s">
        <v>18</v>
      </c>
      <c r="C247" s="1" t="s">
        <v>19</v>
      </c>
      <c r="D247" s="1" t="s">
        <v>39</v>
      </c>
      <c r="E247" s="1" t="s">
        <v>48</v>
      </c>
      <c r="F247">
        <v>1389</v>
      </c>
      <c r="G247">
        <v>10</v>
      </c>
      <c r="H247">
        <v>20</v>
      </c>
      <c r="I247">
        <v>1389</v>
      </c>
      <c r="J247">
        <v>13890</v>
      </c>
      <c r="K247" s="2">
        <v>41548</v>
      </c>
      <c r="L247">
        <v>10</v>
      </c>
      <c r="M247" s="1" t="s">
        <v>37</v>
      </c>
      <c r="N247" s="1" t="s">
        <v>84</v>
      </c>
      <c r="O247">
        <v>2013</v>
      </c>
      <c r="P247">
        <v>27780</v>
      </c>
      <c r="Q247">
        <v>26391</v>
      </c>
      <c r="R247">
        <v>12501</v>
      </c>
      <c r="S247" s="22">
        <v>0.47368421052631576</v>
      </c>
      <c r="T247" t="str" cm="1">
        <f t="array" ref="T247">_xlfn.SWITCH(TRUE,data[[#This Row],[Profit Margin]]&lt;0,"Negative",data[[#This Row],[Profit Margin]]&lt;0.1,"Low",data[[#This Row],[Profit Margin]]&lt;0.2,"Medium","High")</f>
        <v>High</v>
      </c>
    </row>
    <row r="248" spans="1:20" x14ac:dyDescent="0.35">
      <c r="A248">
        <v>247</v>
      </c>
      <c r="B248" s="1" t="s">
        <v>32</v>
      </c>
      <c r="C248" s="1" t="s">
        <v>38</v>
      </c>
      <c r="D248" s="1" t="s">
        <v>39</v>
      </c>
      <c r="E248" s="1" t="s">
        <v>48</v>
      </c>
      <c r="F248">
        <v>861</v>
      </c>
      <c r="G248">
        <v>10</v>
      </c>
      <c r="H248">
        <v>125</v>
      </c>
      <c r="I248">
        <v>5381.25</v>
      </c>
      <c r="J248">
        <v>103320</v>
      </c>
      <c r="K248" s="2">
        <v>41913</v>
      </c>
      <c r="L248">
        <v>10</v>
      </c>
      <c r="M248" s="1" t="s">
        <v>37</v>
      </c>
      <c r="N248" s="1" t="s">
        <v>84</v>
      </c>
      <c r="O248">
        <v>2014</v>
      </c>
      <c r="P248">
        <v>107625</v>
      </c>
      <c r="Q248">
        <v>102243.75</v>
      </c>
      <c r="R248">
        <v>-1076.25</v>
      </c>
      <c r="S248" s="22">
        <v>-1.0526315789473684E-2</v>
      </c>
      <c r="T248" t="str" cm="1">
        <f t="array" ref="T248">_xlfn.SWITCH(TRUE,data[[#This Row],[Profit Margin]]&lt;0,"Negative",data[[#This Row],[Profit Margin]]&lt;0.1,"Low",data[[#This Row],[Profit Margin]]&lt;0.2,"Medium","High")</f>
        <v>Negative</v>
      </c>
    </row>
    <row r="249" spans="1:20" x14ac:dyDescent="0.35">
      <c r="A249">
        <v>248</v>
      </c>
      <c r="B249" s="1" t="s">
        <v>32</v>
      </c>
      <c r="C249" s="1" t="s">
        <v>25</v>
      </c>
      <c r="D249" s="1" t="s">
        <v>39</v>
      </c>
      <c r="E249" s="1" t="s">
        <v>48</v>
      </c>
      <c r="F249">
        <v>704</v>
      </c>
      <c r="G249">
        <v>10</v>
      </c>
      <c r="H249">
        <v>125</v>
      </c>
      <c r="I249">
        <v>4400</v>
      </c>
      <c r="J249">
        <v>84480</v>
      </c>
      <c r="K249" s="2">
        <v>41548</v>
      </c>
      <c r="L249">
        <v>10</v>
      </c>
      <c r="M249" s="1" t="s">
        <v>37</v>
      </c>
      <c r="N249" s="1" t="s">
        <v>84</v>
      </c>
      <c r="O249">
        <v>2013</v>
      </c>
      <c r="P249">
        <v>88000</v>
      </c>
      <c r="Q249">
        <v>83600</v>
      </c>
      <c r="R249">
        <v>-880</v>
      </c>
      <c r="S249" s="22">
        <v>-1.0526315789473684E-2</v>
      </c>
      <c r="T249" t="str" cm="1">
        <f t="array" ref="T249">_xlfn.SWITCH(TRUE,data[[#This Row],[Profit Margin]]&lt;0,"Negative",data[[#This Row],[Profit Margin]]&lt;0.1,"Low",data[[#This Row],[Profit Margin]]&lt;0.2,"Medium","High")</f>
        <v>Negative</v>
      </c>
    </row>
    <row r="250" spans="1:20" x14ac:dyDescent="0.35">
      <c r="A250">
        <v>249</v>
      </c>
      <c r="B250" s="1" t="s">
        <v>18</v>
      </c>
      <c r="C250" s="1" t="s">
        <v>19</v>
      </c>
      <c r="D250" s="1" t="s">
        <v>39</v>
      </c>
      <c r="E250" s="1" t="s">
        <v>48</v>
      </c>
      <c r="F250">
        <v>1802</v>
      </c>
      <c r="G250">
        <v>10</v>
      </c>
      <c r="H250">
        <v>20</v>
      </c>
      <c r="I250">
        <v>1802</v>
      </c>
      <c r="J250">
        <v>18020</v>
      </c>
      <c r="K250" s="2">
        <v>41609</v>
      </c>
      <c r="L250">
        <v>12</v>
      </c>
      <c r="M250" s="1" t="s">
        <v>28</v>
      </c>
      <c r="N250" s="1" t="s">
        <v>79</v>
      </c>
      <c r="O250">
        <v>2013</v>
      </c>
      <c r="P250">
        <v>36040</v>
      </c>
      <c r="Q250">
        <v>34238</v>
      </c>
      <c r="R250">
        <v>16218</v>
      </c>
      <c r="S250" s="22">
        <v>0.47368421052631576</v>
      </c>
      <c r="T250" t="str" cm="1">
        <f t="array" ref="T250">_xlfn.SWITCH(TRUE,data[[#This Row],[Profit Margin]]&lt;0,"Negative",data[[#This Row],[Profit Margin]]&lt;0.1,"Low",data[[#This Row],[Profit Margin]]&lt;0.2,"Medium","High")</f>
        <v>High</v>
      </c>
    </row>
    <row r="251" spans="1:20" x14ac:dyDescent="0.35">
      <c r="A251">
        <v>250</v>
      </c>
      <c r="B251" s="1" t="s">
        <v>18</v>
      </c>
      <c r="C251" s="1" t="s">
        <v>38</v>
      </c>
      <c r="D251" s="1" t="s">
        <v>39</v>
      </c>
      <c r="E251" s="1" t="s">
        <v>48</v>
      </c>
      <c r="F251">
        <v>2663</v>
      </c>
      <c r="G251">
        <v>10</v>
      </c>
      <c r="H251">
        <v>20</v>
      </c>
      <c r="I251">
        <v>2663</v>
      </c>
      <c r="J251">
        <v>26630</v>
      </c>
      <c r="K251" s="2">
        <v>41974</v>
      </c>
      <c r="L251">
        <v>12</v>
      </c>
      <c r="M251" s="1" t="s">
        <v>28</v>
      </c>
      <c r="N251" s="1" t="s">
        <v>79</v>
      </c>
      <c r="O251">
        <v>2014</v>
      </c>
      <c r="P251">
        <v>53260</v>
      </c>
      <c r="Q251">
        <v>50597</v>
      </c>
      <c r="R251">
        <v>23967</v>
      </c>
      <c r="S251" s="22">
        <v>0.47368421052631576</v>
      </c>
      <c r="T251" t="str" cm="1">
        <f t="array" ref="T251">_xlfn.SWITCH(TRUE,data[[#This Row],[Profit Margin]]&lt;0,"Negative",data[[#This Row],[Profit Margin]]&lt;0.1,"Low",data[[#This Row],[Profit Margin]]&lt;0.2,"Medium","High")</f>
        <v>High</v>
      </c>
    </row>
    <row r="252" spans="1:20" x14ac:dyDescent="0.35">
      <c r="A252">
        <v>251</v>
      </c>
      <c r="B252" s="1" t="s">
        <v>18</v>
      </c>
      <c r="C252" s="1" t="s">
        <v>25</v>
      </c>
      <c r="D252" s="1" t="s">
        <v>39</v>
      </c>
      <c r="E252" s="1" t="s">
        <v>48</v>
      </c>
      <c r="F252">
        <v>2136</v>
      </c>
      <c r="G252">
        <v>10</v>
      </c>
      <c r="H252">
        <v>7</v>
      </c>
      <c r="I252">
        <v>747.6</v>
      </c>
      <c r="J252">
        <v>10680</v>
      </c>
      <c r="K252" s="2">
        <v>41609</v>
      </c>
      <c r="L252">
        <v>12</v>
      </c>
      <c r="M252" s="1" t="s">
        <v>28</v>
      </c>
      <c r="N252" s="1" t="s">
        <v>79</v>
      </c>
      <c r="O252">
        <v>2013</v>
      </c>
      <c r="P252">
        <v>14952</v>
      </c>
      <c r="Q252">
        <v>14204.4</v>
      </c>
      <c r="R252">
        <v>3524.3999999999996</v>
      </c>
      <c r="S252" s="22">
        <v>0.24812030075187969</v>
      </c>
      <c r="T252" t="str" cm="1">
        <f t="array" ref="T252">_xlfn.SWITCH(TRUE,data[[#This Row],[Profit Margin]]&lt;0,"Negative",data[[#This Row],[Profit Margin]]&lt;0.1,"Low",data[[#This Row],[Profit Margin]]&lt;0.2,"Medium","High")</f>
        <v>High</v>
      </c>
    </row>
    <row r="253" spans="1:20" x14ac:dyDescent="0.35">
      <c r="A253">
        <v>252</v>
      </c>
      <c r="B253" s="1" t="s">
        <v>24</v>
      </c>
      <c r="C253" s="1" t="s">
        <v>23</v>
      </c>
      <c r="D253" s="1" t="s">
        <v>39</v>
      </c>
      <c r="E253" s="1" t="s">
        <v>48</v>
      </c>
      <c r="F253">
        <v>2116</v>
      </c>
      <c r="G253">
        <v>10</v>
      </c>
      <c r="H253">
        <v>15</v>
      </c>
      <c r="I253">
        <v>1587</v>
      </c>
      <c r="J253">
        <v>21160</v>
      </c>
      <c r="K253" s="2">
        <v>41609</v>
      </c>
      <c r="L253">
        <v>12</v>
      </c>
      <c r="M253" s="1" t="s">
        <v>28</v>
      </c>
      <c r="N253" s="1" t="s">
        <v>79</v>
      </c>
      <c r="O253">
        <v>2013</v>
      </c>
      <c r="P253">
        <v>31740</v>
      </c>
      <c r="Q253">
        <v>30153</v>
      </c>
      <c r="R253">
        <v>8993</v>
      </c>
      <c r="S253" s="22">
        <v>0.2982456140350877</v>
      </c>
      <c r="T253" t="str" cm="1">
        <f t="array" ref="T253">_xlfn.SWITCH(TRUE,data[[#This Row],[Profit Margin]]&lt;0,"Negative",data[[#This Row],[Profit Margin]]&lt;0.1,"Low",data[[#This Row],[Profit Margin]]&lt;0.2,"Medium","High")</f>
        <v>High</v>
      </c>
    </row>
    <row r="254" spans="1:20" x14ac:dyDescent="0.35">
      <c r="A254">
        <v>253</v>
      </c>
      <c r="B254" s="1" t="s">
        <v>24</v>
      </c>
      <c r="C254" s="1" t="s">
        <v>38</v>
      </c>
      <c r="D254" s="1" t="s">
        <v>42</v>
      </c>
      <c r="E254" s="1" t="s">
        <v>48</v>
      </c>
      <c r="F254">
        <v>555</v>
      </c>
      <c r="G254">
        <v>120</v>
      </c>
      <c r="H254">
        <v>15</v>
      </c>
      <c r="I254">
        <v>416.25</v>
      </c>
      <c r="J254">
        <v>5550</v>
      </c>
      <c r="K254" s="2">
        <v>41640</v>
      </c>
      <c r="L254">
        <v>1</v>
      </c>
      <c r="M254" s="1" t="s">
        <v>22</v>
      </c>
      <c r="N254" s="1" t="s">
        <v>77</v>
      </c>
      <c r="O254">
        <v>2014</v>
      </c>
      <c r="P254">
        <v>8325</v>
      </c>
      <c r="Q254">
        <v>7908.75</v>
      </c>
      <c r="R254">
        <v>2358.75</v>
      </c>
      <c r="S254" s="22">
        <v>0.2982456140350877</v>
      </c>
      <c r="T254" t="str" cm="1">
        <f t="array" ref="T254">_xlfn.SWITCH(TRUE,data[[#This Row],[Profit Margin]]&lt;0,"Negative",data[[#This Row],[Profit Margin]]&lt;0.1,"Low",data[[#This Row],[Profit Margin]]&lt;0.2,"Medium","High")</f>
        <v>High</v>
      </c>
    </row>
    <row r="255" spans="1:20" x14ac:dyDescent="0.35">
      <c r="A255">
        <v>254</v>
      </c>
      <c r="B255" s="1" t="s">
        <v>24</v>
      </c>
      <c r="C255" s="1" t="s">
        <v>27</v>
      </c>
      <c r="D255" s="1" t="s">
        <v>42</v>
      </c>
      <c r="E255" s="1" t="s">
        <v>48</v>
      </c>
      <c r="F255">
        <v>2861</v>
      </c>
      <c r="G255">
        <v>120</v>
      </c>
      <c r="H255">
        <v>15</v>
      </c>
      <c r="I255">
        <v>2145.75</v>
      </c>
      <c r="J255">
        <v>28610</v>
      </c>
      <c r="K255" s="2">
        <v>41640</v>
      </c>
      <c r="L255">
        <v>1</v>
      </c>
      <c r="M255" s="1" t="s">
        <v>22</v>
      </c>
      <c r="N255" s="1" t="s">
        <v>77</v>
      </c>
      <c r="O255">
        <v>2014</v>
      </c>
      <c r="P255">
        <v>42915</v>
      </c>
      <c r="Q255">
        <v>40769.25</v>
      </c>
      <c r="R255">
        <v>12159.25</v>
      </c>
      <c r="S255" s="22">
        <v>0.2982456140350877</v>
      </c>
      <c r="T255" t="str" cm="1">
        <f t="array" ref="T255">_xlfn.SWITCH(TRUE,data[[#This Row],[Profit Margin]]&lt;0,"Negative",data[[#This Row],[Profit Margin]]&lt;0.1,"Low",data[[#This Row],[Profit Margin]]&lt;0.2,"Medium","High")</f>
        <v>High</v>
      </c>
    </row>
    <row r="256" spans="1:20" x14ac:dyDescent="0.35">
      <c r="A256">
        <v>255</v>
      </c>
      <c r="B256" s="1" t="s">
        <v>32</v>
      </c>
      <c r="C256" s="1" t="s">
        <v>23</v>
      </c>
      <c r="D256" s="1" t="s">
        <v>42</v>
      </c>
      <c r="E256" s="1" t="s">
        <v>48</v>
      </c>
      <c r="F256">
        <v>807</v>
      </c>
      <c r="G256">
        <v>120</v>
      </c>
      <c r="H256">
        <v>125</v>
      </c>
      <c r="I256">
        <v>5043.75</v>
      </c>
      <c r="J256">
        <v>96840</v>
      </c>
      <c r="K256" s="2">
        <v>41671</v>
      </c>
      <c r="L256">
        <v>2</v>
      </c>
      <c r="M256" s="1" t="s">
        <v>40</v>
      </c>
      <c r="N256" s="1" t="s">
        <v>85</v>
      </c>
      <c r="O256">
        <v>2014</v>
      </c>
      <c r="P256">
        <v>100875</v>
      </c>
      <c r="Q256">
        <v>95831.25</v>
      </c>
      <c r="R256">
        <v>-1008.75</v>
      </c>
      <c r="S256" s="22">
        <v>-1.0526315789473684E-2</v>
      </c>
      <c r="T256" t="str" cm="1">
        <f t="array" ref="T256">_xlfn.SWITCH(TRUE,data[[#This Row],[Profit Margin]]&lt;0,"Negative",data[[#This Row],[Profit Margin]]&lt;0.1,"Low",data[[#This Row],[Profit Margin]]&lt;0.2,"Medium","High")</f>
        <v>Negative</v>
      </c>
    </row>
    <row r="257" spans="1:20" x14ac:dyDescent="0.35">
      <c r="A257">
        <v>256</v>
      </c>
      <c r="B257" s="1" t="s">
        <v>18</v>
      </c>
      <c r="C257" s="1" t="s">
        <v>38</v>
      </c>
      <c r="D257" s="1" t="s">
        <v>42</v>
      </c>
      <c r="E257" s="1" t="s">
        <v>48</v>
      </c>
      <c r="F257">
        <v>602</v>
      </c>
      <c r="G257">
        <v>120</v>
      </c>
      <c r="H257">
        <v>350</v>
      </c>
      <c r="I257">
        <v>10535</v>
      </c>
      <c r="J257">
        <v>156520</v>
      </c>
      <c r="K257" s="2">
        <v>41791</v>
      </c>
      <c r="L257">
        <v>6</v>
      </c>
      <c r="M257" s="1" t="s">
        <v>26</v>
      </c>
      <c r="N257" s="1" t="s">
        <v>78</v>
      </c>
      <c r="O257">
        <v>2014</v>
      </c>
      <c r="P257">
        <v>210700</v>
      </c>
      <c r="Q257">
        <v>200165</v>
      </c>
      <c r="R257">
        <v>43645</v>
      </c>
      <c r="S257" s="22">
        <v>0.21804511278195488</v>
      </c>
      <c r="T257" t="str" cm="1">
        <f t="array" ref="T257">_xlfn.SWITCH(TRUE,data[[#This Row],[Profit Margin]]&lt;0,"Negative",data[[#This Row],[Profit Margin]]&lt;0.1,"Low",data[[#This Row],[Profit Margin]]&lt;0.2,"Medium","High")</f>
        <v>High</v>
      </c>
    </row>
    <row r="258" spans="1:20" x14ac:dyDescent="0.35">
      <c r="A258">
        <v>257</v>
      </c>
      <c r="B258" s="1" t="s">
        <v>18</v>
      </c>
      <c r="C258" s="1" t="s">
        <v>38</v>
      </c>
      <c r="D258" s="1" t="s">
        <v>42</v>
      </c>
      <c r="E258" s="1" t="s">
        <v>48</v>
      </c>
      <c r="F258">
        <v>2832</v>
      </c>
      <c r="G258">
        <v>120</v>
      </c>
      <c r="H258">
        <v>20</v>
      </c>
      <c r="I258">
        <v>2832</v>
      </c>
      <c r="J258">
        <v>28320</v>
      </c>
      <c r="K258" s="2">
        <v>41852</v>
      </c>
      <c r="L258">
        <v>8</v>
      </c>
      <c r="M258" s="1" t="s">
        <v>35</v>
      </c>
      <c r="N258" s="1" t="s">
        <v>82</v>
      </c>
      <c r="O258">
        <v>2014</v>
      </c>
      <c r="P258">
        <v>56640</v>
      </c>
      <c r="Q258">
        <v>53808</v>
      </c>
      <c r="R258">
        <v>25488</v>
      </c>
      <c r="S258" s="22">
        <v>0.47368421052631576</v>
      </c>
      <c r="T258" t="str" cm="1">
        <f t="array" ref="T258">_xlfn.SWITCH(TRUE,data[[#This Row],[Profit Margin]]&lt;0,"Negative",data[[#This Row],[Profit Margin]]&lt;0.1,"Low",data[[#This Row],[Profit Margin]]&lt;0.2,"Medium","High")</f>
        <v>High</v>
      </c>
    </row>
    <row r="259" spans="1:20" x14ac:dyDescent="0.35">
      <c r="A259">
        <v>258</v>
      </c>
      <c r="B259" s="1" t="s">
        <v>18</v>
      </c>
      <c r="C259" s="1" t="s">
        <v>25</v>
      </c>
      <c r="D259" s="1" t="s">
        <v>42</v>
      </c>
      <c r="E259" s="1" t="s">
        <v>48</v>
      </c>
      <c r="F259">
        <v>1579</v>
      </c>
      <c r="G259">
        <v>120</v>
      </c>
      <c r="H259">
        <v>20</v>
      </c>
      <c r="I259">
        <v>1579</v>
      </c>
      <c r="J259">
        <v>15790</v>
      </c>
      <c r="K259" s="2">
        <v>41852</v>
      </c>
      <c r="L259">
        <v>8</v>
      </c>
      <c r="M259" s="1" t="s">
        <v>35</v>
      </c>
      <c r="N259" s="1" t="s">
        <v>82</v>
      </c>
      <c r="O259">
        <v>2014</v>
      </c>
      <c r="P259">
        <v>31580</v>
      </c>
      <c r="Q259">
        <v>30001</v>
      </c>
      <c r="R259">
        <v>14211</v>
      </c>
      <c r="S259" s="22">
        <v>0.47368421052631576</v>
      </c>
      <c r="T259" t="str" cm="1">
        <f t="array" ref="T259">_xlfn.SWITCH(TRUE,data[[#This Row],[Profit Margin]]&lt;0,"Negative",data[[#This Row],[Profit Margin]]&lt;0.1,"Low",data[[#This Row],[Profit Margin]]&lt;0.2,"Medium","High")</f>
        <v>High</v>
      </c>
    </row>
    <row r="260" spans="1:20" x14ac:dyDescent="0.35">
      <c r="A260">
        <v>259</v>
      </c>
      <c r="B260" s="1" t="s">
        <v>32</v>
      </c>
      <c r="C260" s="1" t="s">
        <v>38</v>
      </c>
      <c r="D260" s="1" t="s">
        <v>42</v>
      </c>
      <c r="E260" s="1" t="s">
        <v>48</v>
      </c>
      <c r="F260">
        <v>861</v>
      </c>
      <c r="G260">
        <v>120</v>
      </c>
      <c r="H260">
        <v>125</v>
      </c>
      <c r="I260">
        <v>5381.25</v>
      </c>
      <c r="J260">
        <v>103320</v>
      </c>
      <c r="K260" s="2">
        <v>41913</v>
      </c>
      <c r="L260">
        <v>10</v>
      </c>
      <c r="M260" s="1" t="s">
        <v>37</v>
      </c>
      <c r="N260" s="1" t="s">
        <v>84</v>
      </c>
      <c r="O260">
        <v>2014</v>
      </c>
      <c r="P260">
        <v>107625</v>
      </c>
      <c r="Q260">
        <v>102243.75</v>
      </c>
      <c r="R260">
        <v>-1076.25</v>
      </c>
      <c r="S260" s="22">
        <v>-1.0526315789473684E-2</v>
      </c>
      <c r="T260" t="str" cm="1">
        <f t="array" ref="T260">_xlfn.SWITCH(TRUE,data[[#This Row],[Profit Margin]]&lt;0,"Negative",data[[#This Row],[Profit Margin]]&lt;0.1,"Low",data[[#This Row],[Profit Margin]]&lt;0.2,"Medium","High")</f>
        <v>Negative</v>
      </c>
    </row>
    <row r="261" spans="1:20" x14ac:dyDescent="0.35">
      <c r="A261">
        <v>260</v>
      </c>
      <c r="B261" s="1" t="s">
        <v>32</v>
      </c>
      <c r="C261" s="1" t="s">
        <v>25</v>
      </c>
      <c r="D261" s="1" t="s">
        <v>42</v>
      </c>
      <c r="E261" s="1" t="s">
        <v>48</v>
      </c>
      <c r="F261">
        <v>704</v>
      </c>
      <c r="G261">
        <v>120</v>
      </c>
      <c r="H261">
        <v>125</v>
      </c>
      <c r="I261">
        <v>4400</v>
      </c>
      <c r="J261">
        <v>84480</v>
      </c>
      <c r="K261" s="2">
        <v>41548</v>
      </c>
      <c r="L261">
        <v>10</v>
      </c>
      <c r="M261" s="1" t="s">
        <v>37</v>
      </c>
      <c r="N261" s="1" t="s">
        <v>84</v>
      </c>
      <c r="O261">
        <v>2013</v>
      </c>
      <c r="P261">
        <v>88000</v>
      </c>
      <c r="Q261">
        <v>83600</v>
      </c>
      <c r="R261">
        <v>-880</v>
      </c>
      <c r="S261" s="22">
        <v>-1.0526315789473684E-2</v>
      </c>
      <c r="T261" t="str" cm="1">
        <f t="array" ref="T261">_xlfn.SWITCH(TRUE,data[[#This Row],[Profit Margin]]&lt;0,"Negative",data[[#This Row],[Profit Margin]]&lt;0.1,"Low",data[[#This Row],[Profit Margin]]&lt;0.2,"Medium","High")</f>
        <v>Negative</v>
      </c>
    </row>
    <row r="262" spans="1:20" x14ac:dyDescent="0.35">
      <c r="A262">
        <v>261</v>
      </c>
      <c r="B262" s="1" t="s">
        <v>18</v>
      </c>
      <c r="C262" s="1" t="s">
        <v>25</v>
      </c>
      <c r="D262" s="1" t="s">
        <v>42</v>
      </c>
      <c r="E262" s="1" t="s">
        <v>48</v>
      </c>
      <c r="F262">
        <v>1033</v>
      </c>
      <c r="G262">
        <v>120</v>
      </c>
      <c r="H262">
        <v>20</v>
      </c>
      <c r="I262">
        <v>1033</v>
      </c>
      <c r="J262">
        <v>10330</v>
      </c>
      <c r="K262" s="2">
        <v>41609</v>
      </c>
      <c r="L262">
        <v>12</v>
      </c>
      <c r="M262" s="1" t="s">
        <v>28</v>
      </c>
      <c r="N262" s="1" t="s">
        <v>79</v>
      </c>
      <c r="O262">
        <v>2013</v>
      </c>
      <c r="P262">
        <v>20660</v>
      </c>
      <c r="Q262">
        <v>19627</v>
      </c>
      <c r="R262">
        <v>9297</v>
      </c>
      <c r="S262" s="22">
        <v>0.47368421052631576</v>
      </c>
      <c r="T262" t="str" cm="1">
        <f t="array" ref="T262">_xlfn.SWITCH(TRUE,data[[#This Row],[Profit Margin]]&lt;0,"Negative",data[[#This Row],[Profit Margin]]&lt;0.1,"Low",data[[#This Row],[Profit Margin]]&lt;0.2,"Medium","High")</f>
        <v>High</v>
      </c>
    </row>
    <row r="263" spans="1:20" x14ac:dyDescent="0.35">
      <c r="A263">
        <v>262</v>
      </c>
      <c r="B263" s="1" t="s">
        <v>34</v>
      </c>
      <c r="C263" s="1" t="s">
        <v>23</v>
      </c>
      <c r="D263" s="1" t="s">
        <v>42</v>
      </c>
      <c r="E263" s="1" t="s">
        <v>48</v>
      </c>
      <c r="F263">
        <v>1250</v>
      </c>
      <c r="G263">
        <v>120</v>
      </c>
      <c r="H263">
        <v>300</v>
      </c>
      <c r="I263">
        <v>18750</v>
      </c>
      <c r="J263">
        <v>312500</v>
      </c>
      <c r="K263" s="2">
        <v>41974</v>
      </c>
      <c r="L263">
        <v>12</v>
      </c>
      <c r="M263" s="1" t="s">
        <v>28</v>
      </c>
      <c r="N263" s="1" t="s">
        <v>79</v>
      </c>
      <c r="O263">
        <v>2014</v>
      </c>
      <c r="P263">
        <v>375000</v>
      </c>
      <c r="Q263">
        <v>356250</v>
      </c>
      <c r="R263">
        <v>43750</v>
      </c>
      <c r="S263" s="22">
        <v>0.12280701754385964</v>
      </c>
      <c r="T263" t="str" cm="1">
        <f t="array" ref="T263">_xlfn.SWITCH(TRUE,data[[#This Row],[Profit Margin]]&lt;0,"Negative",data[[#This Row],[Profit Margin]]&lt;0.1,"Low",data[[#This Row],[Profit Margin]]&lt;0.2,"Medium","High")</f>
        <v>Medium</v>
      </c>
    </row>
    <row r="264" spans="1:20" x14ac:dyDescent="0.35">
      <c r="A264">
        <v>263</v>
      </c>
      <c r="B264" s="1" t="s">
        <v>18</v>
      </c>
      <c r="C264" s="1" t="s">
        <v>19</v>
      </c>
      <c r="D264" s="1" t="s">
        <v>43</v>
      </c>
      <c r="E264" s="1" t="s">
        <v>48</v>
      </c>
      <c r="F264">
        <v>1389</v>
      </c>
      <c r="G264">
        <v>250</v>
      </c>
      <c r="H264">
        <v>20</v>
      </c>
      <c r="I264">
        <v>1389</v>
      </c>
      <c r="J264">
        <v>13890</v>
      </c>
      <c r="K264" s="2">
        <v>41548</v>
      </c>
      <c r="L264">
        <v>10</v>
      </c>
      <c r="M264" s="1" t="s">
        <v>37</v>
      </c>
      <c r="N264" s="1" t="s">
        <v>84</v>
      </c>
      <c r="O264">
        <v>2013</v>
      </c>
      <c r="P264">
        <v>27780</v>
      </c>
      <c r="Q264">
        <v>26391</v>
      </c>
      <c r="R264">
        <v>12501</v>
      </c>
      <c r="S264" s="22">
        <v>0.47368421052631576</v>
      </c>
      <c r="T264" t="str" cm="1">
        <f t="array" ref="T264">_xlfn.SWITCH(TRUE,data[[#This Row],[Profit Margin]]&lt;0,"Negative",data[[#This Row],[Profit Margin]]&lt;0.1,"Low",data[[#This Row],[Profit Margin]]&lt;0.2,"Medium","High")</f>
        <v>High</v>
      </c>
    </row>
    <row r="265" spans="1:20" x14ac:dyDescent="0.35">
      <c r="A265">
        <v>264</v>
      </c>
      <c r="B265" s="1" t="s">
        <v>18</v>
      </c>
      <c r="C265" s="1" t="s">
        <v>38</v>
      </c>
      <c r="D265" s="1" t="s">
        <v>43</v>
      </c>
      <c r="E265" s="1" t="s">
        <v>48</v>
      </c>
      <c r="F265">
        <v>1265</v>
      </c>
      <c r="G265">
        <v>250</v>
      </c>
      <c r="H265">
        <v>20</v>
      </c>
      <c r="I265">
        <v>1265</v>
      </c>
      <c r="J265">
        <v>12650</v>
      </c>
      <c r="K265" s="2">
        <v>41579</v>
      </c>
      <c r="L265">
        <v>11</v>
      </c>
      <c r="M265" s="1" t="s">
        <v>41</v>
      </c>
      <c r="N265" s="1" t="s">
        <v>86</v>
      </c>
      <c r="O265">
        <v>2013</v>
      </c>
      <c r="P265">
        <v>25300</v>
      </c>
      <c r="Q265">
        <v>24035</v>
      </c>
      <c r="R265">
        <v>11385</v>
      </c>
      <c r="S265" s="22">
        <v>0.47368421052631576</v>
      </c>
      <c r="T265" t="str" cm="1">
        <f t="array" ref="T265">_xlfn.SWITCH(TRUE,data[[#This Row],[Profit Margin]]&lt;0,"Negative",data[[#This Row],[Profit Margin]]&lt;0.1,"Low",data[[#This Row],[Profit Margin]]&lt;0.2,"Medium","High")</f>
        <v>High</v>
      </c>
    </row>
    <row r="266" spans="1:20" x14ac:dyDescent="0.35">
      <c r="A266">
        <v>265</v>
      </c>
      <c r="B266" s="1" t="s">
        <v>18</v>
      </c>
      <c r="C266" s="1" t="s">
        <v>23</v>
      </c>
      <c r="D266" s="1" t="s">
        <v>43</v>
      </c>
      <c r="E266" s="1" t="s">
        <v>48</v>
      </c>
      <c r="F266">
        <v>2297</v>
      </c>
      <c r="G266">
        <v>250</v>
      </c>
      <c r="H266">
        <v>20</v>
      </c>
      <c r="I266">
        <v>2297</v>
      </c>
      <c r="J266">
        <v>22970</v>
      </c>
      <c r="K266" s="2">
        <v>41579</v>
      </c>
      <c r="L266">
        <v>11</v>
      </c>
      <c r="M266" s="1" t="s">
        <v>41</v>
      </c>
      <c r="N266" s="1" t="s">
        <v>86</v>
      </c>
      <c r="O266">
        <v>2013</v>
      </c>
      <c r="P266">
        <v>45940</v>
      </c>
      <c r="Q266">
        <v>43643</v>
      </c>
      <c r="R266">
        <v>20673</v>
      </c>
      <c r="S266" s="22">
        <v>0.47368421052631576</v>
      </c>
      <c r="T266" t="str" cm="1">
        <f t="array" ref="T266">_xlfn.SWITCH(TRUE,data[[#This Row],[Profit Margin]]&lt;0,"Negative",data[[#This Row],[Profit Margin]]&lt;0.1,"Low",data[[#This Row],[Profit Margin]]&lt;0.2,"Medium","High")</f>
        <v>High</v>
      </c>
    </row>
    <row r="267" spans="1:20" x14ac:dyDescent="0.35">
      <c r="A267">
        <v>266</v>
      </c>
      <c r="B267" s="1" t="s">
        <v>18</v>
      </c>
      <c r="C267" s="1" t="s">
        <v>38</v>
      </c>
      <c r="D267" s="1" t="s">
        <v>43</v>
      </c>
      <c r="E267" s="1" t="s">
        <v>48</v>
      </c>
      <c r="F267">
        <v>2663</v>
      </c>
      <c r="G267">
        <v>250</v>
      </c>
      <c r="H267">
        <v>20</v>
      </c>
      <c r="I267">
        <v>2663</v>
      </c>
      <c r="J267">
        <v>26630</v>
      </c>
      <c r="K267" s="2">
        <v>41974</v>
      </c>
      <c r="L267">
        <v>12</v>
      </c>
      <c r="M267" s="1" t="s">
        <v>28</v>
      </c>
      <c r="N267" s="1" t="s">
        <v>79</v>
      </c>
      <c r="O267">
        <v>2014</v>
      </c>
      <c r="P267">
        <v>53260</v>
      </c>
      <c r="Q267">
        <v>50597</v>
      </c>
      <c r="R267">
        <v>23967</v>
      </c>
      <c r="S267" s="22">
        <v>0.47368421052631576</v>
      </c>
      <c r="T267" t="str" cm="1">
        <f t="array" ref="T267">_xlfn.SWITCH(TRUE,data[[#This Row],[Profit Margin]]&lt;0,"Negative",data[[#This Row],[Profit Margin]]&lt;0.1,"Low",data[[#This Row],[Profit Margin]]&lt;0.2,"Medium","High")</f>
        <v>High</v>
      </c>
    </row>
    <row r="268" spans="1:20" x14ac:dyDescent="0.35">
      <c r="A268">
        <v>267</v>
      </c>
      <c r="B268" s="1" t="s">
        <v>18</v>
      </c>
      <c r="C268" s="1" t="s">
        <v>38</v>
      </c>
      <c r="D268" s="1" t="s">
        <v>43</v>
      </c>
      <c r="E268" s="1" t="s">
        <v>48</v>
      </c>
      <c r="F268">
        <v>570</v>
      </c>
      <c r="G268">
        <v>250</v>
      </c>
      <c r="H268">
        <v>7</v>
      </c>
      <c r="I268">
        <v>199.5</v>
      </c>
      <c r="J268">
        <v>2850</v>
      </c>
      <c r="K268" s="2">
        <v>41974</v>
      </c>
      <c r="L268">
        <v>12</v>
      </c>
      <c r="M268" s="1" t="s">
        <v>28</v>
      </c>
      <c r="N268" s="1" t="s">
        <v>79</v>
      </c>
      <c r="O268">
        <v>2014</v>
      </c>
      <c r="P268">
        <v>3990</v>
      </c>
      <c r="Q268">
        <v>3790.5</v>
      </c>
      <c r="R268">
        <v>940.5</v>
      </c>
      <c r="S268" s="22">
        <v>0.24812030075187969</v>
      </c>
      <c r="T268" t="str" cm="1">
        <f t="array" ref="T268">_xlfn.SWITCH(TRUE,data[[#This Row],[Profit Margin]]&lt;0,"Negative",data[[#This Row],[Profit Margin]]&lt;0.1,"Low",data[[#This Row],[Profit Margin]]&lt;0.2,"Medium","High")</f>
        <v>High</v>
      </c>
    </row>
    <row r="269" spans="1:20" x14ac:dyDescent="0.35">
      <c r="A269">
        <v>268</v>
      </c>
      <c r="B269" s="1" t="s">
        <v>18</v>
      </c>
      <c r="C269" s="1" t="s">
        <v>25</v>
      </c>
      <c r="D269" s="1" t="s">
        <v>43</v>
      </c>
      <c r="E269" s="1" t="s">
        <v>48</v>
      </c>
      <c r="F269">
        <v>2487</v>
      </c>
      <c r="G269">
        <v>250</v>
      </c>
      <c r="H269">
        <v>7</v>
      </c>
      <c r="I269">
        <v>870.45</v>
      </c>
      <c r="J269">
        <v>12435</v>
      </c>
      <c r="K269" s="2">
        <v>41974</v>
      </c>
      <c r="L269">
        <v>12</v>
      </c>
      <c r="M269" s="1" t="s">
        <v>28</v>
      </c>
      <c r="N269" s="1" t="s">
        <v>79</v>
      </c>
      <c r="O269">
        <v>2014</v>
      </c>
      <c r="P269">
        <v>17409</v>
      </c>
      <c r="Q269">
        <v>16538.55</v>
      </c>
      <c r="R269">
        <v>4103.5499999999993</v>
      </c>
      <c r="S269" s="22">
        <v>0.24812030075187966</v>
      </c>
      <c r="T269" t="str" cm="1">
        <f t="array" ref="T269">_xlfn.SWITCH(TRUE,data[[#This Row],[Profit Margin]]&lt;0,"Negative",data[[#This Row],[Profit Margin]]&lt;0.1,"Low",data[[#This Row],[Profit Margin]]&lt;0.2,"Medium","High")</f>
        <v>High</v>
      </c>
    </row>
    <row r="270" spans="1:20" x14ac:dyDescent="0.35">
      <c r="A270">
        <v>269</v>
      </c>
      <c r="B270" s="1" t="s">
        <v>18</v>
      </c>
      <c r="C270" s="1" t="s">
        <v>23</v>
      </c>
      <c r="D270" s="1" t="s">
        <v>45</v>
      </c>
      <c r="E270" s="1" t="s">
        <v>48</v>
      </c>
      <c r="F270">
        <v>1350</v>
      </c>
      <c r="G270">
        <v>260</v>
      </c>
      <c r="H270">
        <v>350</v>
      </c>
      <c r="I270">
        <v>23625</v>
      </c>
      <c r="J270">
        <v>351000</v>
      </c>
      <c r="K270" s="2">
        <v>41671</v>
      </c>
      <c r="L270">
        <v>2</v>
      </c>
      <c r="M270" s="1" t="s">
        <v>40</v>
      </c>
      <c r="N270" s="1" t="s">
        <v>85</v>
      </c>
      <c r="O270">
        <v>2014</v>
      </c>
      <c r="P270">
        <v>472500</v>
      </c>
      <c r="Q270">
        <v>448875</v>
      </c>
      <c r="R270">
        <v>97875</v>
      </c>
      <c r="S270" s="22">
        <v>0.21804511278195488</v>
      </c>
      <c r="T270" t="str" cm="1">
        <f t="array" ref="T270">_xlfn.SWITCH(TRUE,data[[#This Row],[Profit Margin]]&lt;0,"Negative",data[[#This Row],[Profit Margin]]&lt;0.1,"Low",data[[#This Row],[Profit Margin]]&lt;0.2,"Medium","High")</f>
        <v>High</v>
      </c>
    </row>
    <row r="271" spans="1:20" x14ac:dyDescent="0.35">
      <c r="A271">
        <v>270</v>
      </c>
      <c r="B271" s="1" t="s">
        <v>18</v>
      </c>
      <c r="C271" s="1" t="s">
        <v>19</v>
      </c>
      <c r="D271" s="1" t="s">
        <v>45</v>
      </c>
      <c r="E271" s="1" t="s">
        <v>48</v>
      </c>
      <c r="F271">
        <v>552</v>
      </c>
      <c r="G271">
        <v>260</v>
      </c>
      <c r="H271">
        <v>350</v>
      </c>
      <c r="I271">
        <v>9660</v>
      </c>
      <c r="J271">
        <v>143520</v>
      </c>
      <c r="K271" s="2">
        <v>41852</v>
      </c>
      <c r="L271">
        <v>8</v>
      </c>
      <c r="M271" s="1" t="s">
        <v>35</v>
      </c>
      <c r="N271" s="1" t="s">
        <v>82</v>
      </c>
      <c r="O271">
        <v>2014</v>
      </c>
      <c r="P271">
        <v>193200</v>
      </c>
      <c r="Q271">
        <v>183540</v>
      </c>
      <c r="R271">
        <v>40020</v>
      </c>
      <c r="S271" s="22">
        <v>0.21804511278195488</v>
      </c>
      <c r="T271" t="str" cm="1">
        <f t="array" ref="T271">_xlfn.SWITCH(TRUE,data[[#This Row],[Profit Margin]]&lt;0,"Negative",data[[#This Row],[Profit Margin]]&lt;0.1,"Low",data[[#This Row],[Profit Margin]]&lt;0.2,"Medium","High")</f>
        <v>High</v>
      </c>
    </row>
    <row r="272" spans="1:20" x14ac:dyDescent="0.35">
      <c r="A272">
        <v>271</v>
      </c>
      <c r="B272" s="1" t="s">
        <v>18</v>
      </c>
      <c r="C272" s="1" t="s">
        <v>19</v>
      </c>
      <c r="D272" s="1" t="s">
        <v>45</v>
      </c>
      <c r="E272" s="1" t="s">
        <v>48</v>
      </c>
      <c r="F272">
        <v>1228</v>
      </c>
      <c r="G272">
        <v>260</v>
      </c>
      <c r="H272">
        <v>350</v>
      </c>
      <c r="I272">
        <v>21490</v>
      </c>
      <c r="J272">
        <v>319280</v>
      </c>
      <c r="K272" s="2">
        <v>41548</v>
      </c>
      <c r="L272">
        <v>10</v>
      </c>
      <c r="M272" s="1" t="s">
        <v>37</v>
      </c>
      <c r="N272" s="1" t="s">
        <v>84</v>
      </c>
      <c r="O272">
        <v>2013</v>
      </c>
      <c r="P272">
        <v>429800</v>
      </c>
      <c r="Q272">
        <v>408310</v>
      </c>
      <c r="R272">
        <v>89030</v>
      </c>
      <c r="S272" s="22">
        <v>0.21804511278195488</v>
      </c>
      <c r="T272" t="str" cm="1">
        <f t="array" ref="T272">_xlfn.SWITCH(TRUE,data[[#This Row],[Profit Margin]]&lt;0,"Negative",data[[#This Row],[Profit Margin]]&lt;0.1,"Low",data[[#This Row],[Profit Margin]]&lt;0.2,"Medium","High")</f>
        <v>High</v>
      </c>
    </row>
    <row r="273" spans="1:20" x14ac:dyDescent="0.35">
      <c r="A273">
        <v>272</v>
      </c>
      <c r="B273" s="1" t="s">
        <v>34</v>
      </c>
      <c r="C273" s="1" t="s">
        <v>23</v>
      </c>
      <c r="D273" s="1" t="s">
        <v>45</v>
      </c>
      <c r="E273" s="1" t="s">
        <v>48</v>
      </c>
      <c r="F273">
        <v>1250</v>
      </c>
      <c r="G273">
        <v>260</v>
      </c>
      <c r="H273">
        <v>300</v>
      </c>
      <c r="I273">
        <v>18750</v>
      </c>
      <c r="J273">
        <v>312500</v>
      </c>
      <c r="K273" s="2">
        <v>41974</v>
      </c>
      <c r="L273">
        <v>12</v>
      </c>
      <c r="M273" s="1" t="s">
        <v>28</v>
      </c>
      <c r="N273" s="1" t="s">
        <v>79</v>
      </c>
      <c r="O273">
        <v>2014</v>
      </c>
      <c r="P273">
        <v>375000</v>
      </c>
      <c r="Q273">
        <v>356250</v>
      </c>
      <c r="R273">
        <v>43750</v>
      </c>
      <c r="S273" s="22">
        <v>0.12280701754385964</v>
      </c>
      <c r="T273" t="str" cm="1">
        <f t="array" ref="T273">_xlfn.SWITCH(TRUE,data[[#This Row],[Profit Margin]]&lt;0,"Negative",data[[#This Row],[Profit Margin]]&lt;0.1,"Low",data[[#This Row],[Profit Margin]]&lt;0.2,"Medium","High")</f>
        <v>Medium</v>
      </c>
    </row>
    <row r="274" spans="1:20" x14ac:dyDescent="0.35">
      <c r="A274">
        <v>273</v>
      </c>
      <c r="B274" s="1" t="s">
        <v>24</v>
      </c>
      <c r="C274" s="1" t="s">
        <v>25</v>
      </c>
      <c r="D274" s="1" t="s">
        <v>39</v>
      </c>
      <c r="E274" s="1" t="s">
        <v>48</v>
      </c>
      <c r="F274">
        <v>3801</v>
      </c>
      <c r="G274">
        <v>10</v>
      </c>
      <c r="H274">
        <v>15</v>
      </c>
      <c r="I274">
        <v>3420.8999999999996</v>
      </c>
      <c r="J274">
        <v>38010</v>
      </c>
      <c r="K274" s="2">
        <v>41730</v>
      </c>
      <c r="L274">
        <v>4</v>
      </c>
      <c r="M274" s="1" t="s">
        <v>44</v>
      </c>
      <c r="N274" s="1" t="s">
        <v>87</v>
      </c>
      <c r="O274">
        <v>2014</v>
      </c>
      <c r="P274">
        <v>57015</v>
      </c>
      <c r="Q274">
        <v>53594.1</v>
      </c>
      <c r="R274">
        <v>15584.099999999999</v>
      </c>
      <c r="S274" s="22">
        <v>0.29078014184397161</v>
      </c>
      <c r="T274" t="str" cm="1">
        <f t="array" ref="T274">_xlfn.SWITCH(TRUE,data[[#This Row],[Profit Margin]]&lt;0,"Negative",data[[#This Row],[Profit Margin]]&lt;0.1,"Low",data[[#This Row],[Profit Margin]]&lt;0.2,"Medium","High")</f>
        <v>High</v>
      </c>
    </row>
    <row r="275" spans="1:20" x14ac:dyDescent="0.35">
      <c r="A275">
        <v>274</v>
      </c>
      <c r="B275" s="1" t="s">
        <v>18</v>
      </c>
      <c r="C275" s="1" t="s">
        <v>38</v>
      </c>
      <c r="D275" s="1" t="s">
        <v>20</v>
      </c>
      <c r="E275" s="1" t="s">
        <v>48</v>
      </c>
      <c r="F275">
        <v>1117.5</v>
      </c>
      <c r="G275">
        <v>3</v>
      </c>
      <c r="H275">
        <v>20</v>
      </c>
      <c r="I275">
        <v>1341</v>
      </c>
      <c r="J275">
        <v>11175</v>
      </c>
      <c r="K275" s="2">
        <v>41640</v>
      </c>
      <c r="L275">
        <v>1</v>
      </c>
      <c r="M275" s="1" t="s">
        <v>22</v>
      </c>
      <c r="N275" s="1" t="s">
        <v>77</v>
      </c>
      <c r="O275">
        <v>2014</v>
      </c>
      <c r="P275">
        <v>22350</v>
      </c>
      <c r="Q275">
        <v>21009</v>
      </c>
      <c r="R275">
        <v>9834</v>
      </c>
      <c r="S275" s="22">
        <v>0.46808510638297873</v>
      </c>
      <c r="T275" t="str" cm="1">
        <f t="array" ref="T275">_xlfn.SWITCH(TRUE,data[[#This Row],[Profit Margin]]&lt;0,"Negative",data[[#This Row],[Profit Margin]]&lt;0.1,"Low",data[[#This Row],[Profit Margin]]&lt;0.2,"Medium","High")</f>
        <v>High</v>
      </c>
    </row>
    <row r="276" spans="1:20" x14ac:dyDescent="0.35">
      <c r="A276">
        <v>275</v>
      </c>
      <c r="B276" s="1" t="s">
        <v>24</v>
      </c>
      <c r="C276" s="1" t="s">
        <v>19</v>
      </c>
      <c r="D276" s="1" t="s">
        <v>20</v>
      </c>
      <c r="E276" s="1" t="s">
        <v>48</v>
      </c>
      <c r="F276">
        <v>2844</v>
      </c>
      <c r="G276">
        <v>3</v>
      </c>
      <c r="H276">
        <v>15</v>
      </c>
      <c r="I276">
        <v>2559.6</v>
      </c>
      <c r="J276">
        <v>28440</v>
      </c>
      <c r="K276" s="2">
        <v>41791</v>
      </c>
      <c r="L276">
        <v>6</v>
      </c>
      <c r="M276" s="1" t="s">
        <v>26</v>
      </c>
      <c r="N276" s="1" t="s">
        <v>78</v>
      </c>
      <c r="O276">
        <v>2014</v>
      </c>
      <c r="P276">
        <v>42660</v>
      </c>
      <c r="Q276">
        <v>40100.400000000001</v>
      </c>
      <c r="R276">
        <v>11660.400000000001</v>
      </c>
      <c r="S276" s="22">
        <v>0.29078014184397166</v>
      </c>
      <c r="T276" t="str" cm="1">
        <f t="array" ref="T276">_xlfn.SWITCH(TRUE,data[[#This Row],[Profit Margin]]&lt;0,"Negative",data[[#This Row],[Profit Margin]]&lt;0.1,"Low",data[[#This Row],[Profit Margin]]&lt;0.2,"Medium","High")</f>
        <v>High</v>
      </c>
    </row>
    <row r="277" spans="1:20" x14ac:dyDescent="0.35">
      <c r="A277">
        <v>276</v>
      </c>
      <c r="B277" s="1" t="s">
        <v>31</v>
      </c>
      <c r="C277" s="1" t="s">
        <v>27</v>
      </c>
      <c r="D277" s="1" t="s">
        <v>20</v>
      </c>
      <c r="E277" s="1" t="s">
        <v>48</v>
      </c>
      <c r="F277">
        <v>562</v>
      </c>
      <c r="G277">
        <v>3</v>
      </c>
      <c r="H277">
        <v>12</v>
      </c>
      <c r="I277">
        <v>404.64</v>
      </c>
      <c r="J277">
        <v>1686</v>
      </c>
      <c r="K277" s="2">
        <v>41883</v>
      </c>
      <c r="L277">
        <v>9</v>
      </c>
      <c r="M277" s="1" t="s">
        <v>36</v>
      </c>
      <c r="N277" s="1" t="s">
        <v>83</v>
      </c>
      <c r="O277">
        <v>2014</v>
      </c>
      <c r="P277">
        <v>6744</v>
      </c>
      <c r="Q277">
        <v>6339.36</v>
      </c>
      <c r="R277">
        <v>4653.3599999999997</v>
      </c>
      <c r="S277" s="22">
        <v>0.73404255319148937</v>
      </c>
      <c r="T277" t="str" cm="1">
        <f t="array" ref="T277">_xlfn.SWITCH(TRUE,data[[#This Row],[Profit Margin]]&lt;0,"Negative",data[[#This Row],[Profit Margin]]&lt;0.1,"Low",data[[#This Row],[Profit Margin]]&lt;0.2,"Medium","High")</f>
        <v>High</v>
      </c>
    </row>
    <row r="278" spans="1:20" x14ac:dyDescent="0.35">
      <c r="A278">
        <v>277</v>
      </c>
      <c r="B278" s="1" t="s">
        <v>31</v>
      </c>
      <c r="C278" s="1" t="s">
        <v>19</v>
      </c>
      <c r="D278" s="1" t="s">
        <v>20</v>
      </c>
      <c r="E278" s="1" t="s">
        <v>48</v>
      </c>
      <c r="F278">
        <v>2299</v>
      </c>
      <c r="G278">
        <v>3</v>
      </c>
      <c r="H278">
        <v>12</v>
      </c>
      <c r="I278">
        <v>1655.28</v>
      </c>
      <c r="J278">
        <v>6897</v>
      </c>
      <c r="K278" s="2">
        <v>41548</v>
      </c>
      <c r="L278">
        <v>10</v>
      </c>
      <c r="M278" s="1" t="s">
        <v>37</v>
      </c>
      <c r="N278" s="1" t="s">
        <v>84</v>
      </c>
      <c r="O278">
        <v>2013</v>
      </c>
      <c r="P278">
        <v>27588</v>
      </c>
      <c r="Q278">
        <v>25932.720000000001</v>
      </c>
      <c r="R278">
        <v>19035.72</v>
      </c>
      <c r="S278" s="22">
        <v>0.73404255319148937</v>
      </c>
      <c r="T278" t="str" cm="1">
        <f t="array" ref="T278">_xlfn.SWITCH(TRUE,data[[#This Row],[Profit Margin]]&lt;0,"Negative",data[[#This Row],[Profit Margin]]&lt;0.1,"Low",data[[#This Row],[Profit Margin]]&lt;0.2,"Medium","High")</f>
        <v>High</v>
      </c>
    </row>
    <row r="279" spans="1:20" x14ac:dyDescent="0.35">
      <c r="A279">
        <v>278</v>
      </c>
      <c r="B279" s="1" t="s">
        <v>24</v>
      </c>
      <c r="C279" s="1" t="s">
        <v>38</v>
      </c>
      <c r="D279" s="1" t="s">
        <v>20</v>
      </c>
      <c r="E279" s="1" t="s">
        <v>48</v>
      </c>
      <c r="F279">
        <v>2030</v>
      </c>
      <c r="G279">
        <v>3</v>
      </c>
      <c r="H279">
        <v>15</v>
      </c>
      <c r="I279">
        <v>1827</v>
      </c>
      <c r="J279">
        <v>20300</v>
      </c>
      <c r="K279" s="2">
        <v>41944</v>
      </c>
      <c r="L279">
        <v>11</v>
      </c>
      <c r="M279" s="1" t="s">
        <v>41</v>
      </c>
      <c r="N279" s="1" t="s">
        <v>86</v>
      </c>
      <c r="O279">
        <v>2014</v>
      </c>
      <c r="P279">
        <v>30450</v>
      </c>
      <c r="Q279">
        <v>28623</v>
      </c>
      <c r="R279">
        <v>8323</v>
      </c>
      <c r="S279" s="22">
        <v>0.29078014184397161</v>
      </c>
      <c r="T279" t="str" cm="1">
        <f t="array" ref="T279">_xlfn.SWITCH(TRUE,data[[#This Row],[Profit Margin]]&lt;0,"Negative",data[[#This Row],[Profit Margin]]&lt;0.1,"Low",data[[#This Row],[Profit Margin]]&lt;0.2,"Medium","High")</f>
        <v>High</v>
      </c>
    </row>
    <row r="280" spans="1:20" x14ac:dyDescent="0.35">
      <c r="A280">
        <v>279</v>
      </c>
      <c r="B280" s="1" t="s">
        <v>18</v>
      </c>
      <c r="C280" s="1" t="s">
        <v>38</v>
      </c>
      <c r="D280" s="1" t="s">
        <v>20</v>
      </c>
      <c r="E280" s="1" t="s">
        <v>48</v>
      </c>
      <c r="F280">
        <v>263</v>
      </c>
      <c r="G280">
        <v>3</v>
      </c>
      <c r="H280">
        <v>7</v>
      </c>
      <c r="I280">
        <v>110.46</v>
      </c>
      <c r="J280">
        <v>1315</v>
      </c>
      <c r="K280" s="2">
        <v>41579</v>
      </c>
      <c r="L280">
        <v>11</v>
      </c>
      <c r="M280" s="1" t="s">
        <v>41</v>
      </c>
      <c r="N280" s="1" t="s">
        <v>86</v>
      </c>
      <c r="O280">
        <v>2013</v>
      </c>
      <c r="P280">
        <v>1841</v>
      </c>
      <c r="Q280">
        <v>1730.54</v>
      </c>
      <c r="R280">
        <v>415.53999999999996</v>
      </c>
      <c r="S280" s="22">
        <v>0.24012158054711244</v>
      </c>
      <c r="T280" t="str" cm="1">
        <f t="array" ref="T280">_xlfn.SWITCH(TRUE,data[[#This Row],[Profit Margin]]&lt;0,"Negative",data[[#This Row],[Profit Margin]]&lt;0.1,"Low",data[[#This Row],[Profit Margin]]&lt;0.2,"Medium","High")</f>
        <v>High</v>
      </c>
    </row>
    <row r="281" spans="1:20" x14ac:dyDescent="0.35">
      <c r="A281">
        <v>280</v>
      </c>
      <c r="B281" s="1" t="s">
        <v>32</v>
      </c>
      <c r="C281" s="1" t="s">
        <v>23</v>
      </c>
      <c r="D281" s="1" t="s">
        <v>20</v>
      </c>
      <c r="E281" s="1" t="s">
        <v>48</v>
      </c>
      <c r="F281">
        <v>887</v>
      </c>
      <c r="G281">
        <v>3</v>
      </c>
      <c r="H281">
        <v>125</v>
      </c>
      <c r="I281">
        <v>6652.5</v>
      </c>
      <c r="J281">
        <v>106440</v>
      </c>
      <c r="K281" s="2">
        <v>41609</v>
      </c>
      <c r="L281">
        <v>12</v>
      </c>
      <c r="M281" s="1" t="s">
        <v>28</v>
      </c>
      <c r="N281" s="1" t="s">
        <v>79</v>
      </c>
      <c r="O281">
        <v>2013</v>
      </c>
      <c r="P281">
        <v>110875</v>
      </c>
      <c r="Q281">
        <v>104222.5</v>
      </c>
      <c r="R281">
        <v>-2217.5</v>
      </c>
      <c r="S281" s="22">
        <v>-2.1276595744680851E-2</v>
      </c>
      <c r="T281" t="str" cm="1">
        <f t="array" ref="T281">_xlfn.SWITCH(TRUE,data[[#This Row],[Profit Margin]]&lt;0,"Negative",data[[#This Row],[Profit Margin]]&lt;0.1,"Low",data[[#This Row],[Profit Margin]]&lt;0.2,"Medium","High")</f>
        <v>Negative</v>
      </c>
    </row>
    <row r="282" spans="1:20" x14ac:dyDescent="0.35">
      <c r="A282">
        <v>281</v>
      </c>
      <c r="B282" s="1" t="s">
        <v>18</v>
      </c>
      <c r="C282" s="1" t="s">
        <v>27</v>
      </c>
      <c r="D282" s="1" t="s">
        <v>29</v>
      </c>
      <c r="E282" s="1" t="s">
        <v>48</v>
      </c>
      <c r="F282">
        <v>980</v>
      </c>
      <c r="G282">
        <v>5</v>
      </c>
      <c r="H282">
        <v>350</v>
      </c>
      <c r="I282">
        <v>20580</v>
      </c>
      <c r="J282">
        <v>254800</v>
      </c>
      <c r="K282" s="2">
        <v>41730</v>
      </c>
      <c r="L282">
        <v>4</v>
      </c>
      <c r="M282" s="1" t="s">
        <v>44</v>
      </c>
      <c r="N282" s="1" t="s">
        <v>87</v>
      </c>
      <c r="O282">
        <v>2014</v>
      </c>
      <c r="P282">
        <v>343000</v>
      </c>
      <c r="Q282">
        <v>322420</v>
      </c>
      <c r="R282">
        <v>67620</v>
      </c>
      <c r="S282" s="22">
        <v>0.20972644376899696</v>
      </c>
      <c r="T282" t="str" cm="1">
        <f t="array" ref="T282">_xlfn.SWITCH(TRUE,data[[#This Row],[Profit Margin]]&lt;0,"Negative",data[[#This Row],[Profit Margin]]&lt;0.1,"Low",data[[#This Row],[Profit Margin]]&lt;0.2,"Medium","High")</f>
        <v>High</v>
      </c>
    </row>
    <row r="283" spans="1:20" x14ac:dyDescent="0.35">
      <c r="A283">
        <v>282</v>
      </c>
      <c r="B283" s="1" t="s">
        <v>18</v>
      </c>
      <c r="C283" s="1" t="s">
        <v>23</v>
      </c>
      <c r="D283" s="1" t="s">
        <v>29</v>
      </c>
      <c r="E283" s="1" t="s">
        <v>48</v>
      </c>
      <c r="F283">
        <v>1460</v>
      </c>
      <c r="G283">
        <v>5</v>
      </c>
      <c r="H283">
        <v>350</v>
      </c>
      <c r="I283">
        <v>30660</v>
      </c>
      <c r="J283">
        <v>379600</v>
      </c>
      <c r="K283" s="2">
        <v>41760</v>
      </c>
      <c r="L283">
        <v>5</v>
      </c>
      <c r="M283" s="1" t="s">
        <v>47</v>
      </c>
      <c r="N283" s="1" t="s">
        <v>47</v>
      </c>
      <c r="O283">
        <v>2014</v>
      </c>
      <c r="P283">
        <v>511000</v>
      </c>
      <c r="Q283">
        <v>480340</v>
      </c>
      <c r="R283">
        <v>100740</v>
      </c>
      <c r="S283" s="22">
        <v>0.20972644376899696</v>
      </c>
      <c r="T283" t="str" cm="1">
        <f t="array" ref="T283">_xlfn.SWITCH(TRUE,data[[#This Row],[Profit Margin]]&lt;0,"Negative",data[[#This Row],[Profit Margin]]&lt;0.1,"Low",data[[#This Row],[Profit Margin]]&lt;0.2,"Medium","High")</f>
        <v>High</v>
      </c>
    </row>
    <row r="284" spans="1:20" x14ac:dyDescent="0.35">
      <c r="A284">
        <v>283</v>
      </c>
      <c r="B284" s="1" t="s">
        <v>18</v>
      </c>
      <c r="C284" s="1" t="s">
        <v>25</v>
      </c>
      <c r="D284" s="1" t="s">
        <v>29</v>
      </c>
      <c r="E284" s="1" t="s">
        <v>48</v>
      </c>
      <c r="F284">
        <v>1403</v>
      </c>
      <c r="G284">
        <v>5</v>
      </c>
      <c r="H284">
        <v>7</v>
      </c>
      <c r="I284">
        <v>589.26</v>
      </c>
      <c r="J284">
        <v>7015</v>
      </c>
      <c r="K284" s="2">
        <v>41548</v>
      </c>
      <c r="L284">
        <v>10</v>
      </c>
      <c r="M284" s="1" t="s">
        <v>37</v>
      </c>
      <c r="N284" s="1" t="s">
        <v>84</v>
      </c>
      <c r="O284">
        <v>2013</v>
      </c>
      <c r="P284">
        <v>9821</v>
      </c>
      <c r="Q284">
        <v>9231.74</v>
      </c>
      <c r="R284">
        <v>2216.7399999999998</v>
      </c>
      <c r="S284" s="22">
        <v>0.24012158054711244</v>
      </c>
      <c r="T284" t="str" cm="1">
        <f t="array" ref="T284">_xlfn.SWITCH(TRUE,data[[#This Row],[Profit Margin]]&lt;0,"Negative",data[[#This Row],[Profit Margin]]&lt;0.1,"Low",data[[#This Row],[Profit Margin]]&lt;0.2,"Medium","High")</f>
        <v>High</v>
      </c>
    </row>
    <row r="285" spans="1:20" x14ac:dyDescent="0.35">
      <c r="A285">
        <v>284</v>
      </c>
      <c r="B285" s="1" t="s">
        <v>31</v>
      </c>
      <c r="C285" s="1" t="s">
        <v>38</v>
      </c>
      <c r="D285" s="1" t="s">
        <v>29</v>
      </c>
      <c r="E285" s="1" t="s">
        <v>48</v>
      </c>
      <c r="F285">
        <v>2723</v>
      </c>
      <c r="G285">
        <v>5</v>
      </c>
      <c r="H285">
        <v>12</v>
      </c>
      <c r="I285">
        <v>1960.56</v>
      </c>
      <c r="J285">
        <v>8169</v>
      </c>
      <c r="K285" s="2">
        <v>41944</v>
      </c>
      <c r="L285">
        <v>11</v>
      </c>
      <c r="M285" s="1" t="s">
        <v>41</v>
      </c>
      <c r="N285" s="1" t="s">
        <v>86</v>
      </c>
      <c r="O285">
        <v>2014</v>
      </c>
      <c r="P285">
        <v>32676</v>
      </c>
      <c r="Q285">
        <v>30715.439999999999</v>
      </c>
      <c r="R285">
        <v>22546.44</v>
      </c>
      <c r="S285" s="22">
        <v>0.73404255319148937</v>
      </c>
      <c r="T285" t="str" cm="1">
        <f t="array" ref="T285">_xlfn.SWITCH(TRUE,data[[#This Row],[Profit Margin]]&lt;0,"Negative",data[[#This Row],[Profit Margin]]&lt;0.1,"Low",data[[#This Row],[Profit Margin]]&lt;0.2,"Medium","High")</f>
        <v>High</v>
      </c>
    </row>
    <row r="286" spans="1:20" x14ac:dyDescent="0.35">
      <c r="A286">
        <v>285</v>
      </c>
      <c r="B286" s="1" t="s">
        <v>18</v>
      </c>
      <c r="C286" s="1" t="s">
        <v>25</v>
      </c>
      <c r="D286" s="1" t="s">
        <v>39</v>
      </c>
      <c r="E286" s="1" t="s">
        <v>48</v>
      </c>
      <c r="F286">
        <v>1496</v>
      </c>
      <c r="G286">
        <v>10</v>
      </c>
      <c r="H286">
        <v>350</v>
      </c>
      <c r="I286">
        <v>31416</v>
      </c>
      <c r="J286">
        <v>388960</v>
      </c>
      <c r="K286" s="2">
        <v>41791</v>
      </c>
      <c r="L286">
        <v>6</v>
      </c>
      <c r="M286" s="1" t="s">
        <v>26</v>
      </c>
      <c r="N286" s="1" t="s">
        <v>78</v>
      </c>
      <c r="O286">
        <v>2014</v>
      </c>
      <c r="P286">
        <v>523600</v>
      </c>
      <c r="Q286">
        <v>492184</v>
      </c>
      <c r="R286">
        <v>103224</v>
      </c>
      <c r="S286" s="22">
        <v>0.20972644376899696</v>
      </c>
      <c r="T286" t="str" cm="1">
        <f t="array" ref="T286">_xlfn.SWITCH(TRUE,data[[#This Row],[Profit Margin]]&lt;0,"Negative",data[[#This Row],[Profit Margin]]&lt;0.1,"Low",data[[#This Row],[Profit Margin]]&lt;0.2,"Medium","High")</f>
        <v>High</v>
      </c>
    </row>
    <row r="287" spans="1:20" x14ac:dyDescent="0.35">
      <c r="A287">
        <v>286</v>
      </c>
      <c r="B287" s="1" t="s">
        <v>31</v>
      </c>
      <c r="C287" s="1" t="s">
        <v>19</v>
      </c>
      <c r="D287" s="1" t="s">
        <v>39</v>
      </c>
      <c r="E287" s="1" t="s">
        <v>48</v>
      </c>
      <c r="F287">
        <v>2299</v>
      </c>
      <c r="G287">
        <v>10</v>
      </c>
      <c r="H287">
        <v>12</v>
      </c>
      <c r="I287">
        <v>1655.28</v>
      </c>
      <c r="J287">
        <v>6897</v>
      </c>
      <c r="K287" s="2">
        <v>41548</v>
      </c>
      <c r="L287">
        <v>10</v>
      </c>
      <c r="M287" s="1" t="s">
        <v>37</v>
      </c>
      <c r="N287" s="1" t="s">
        <v>84</v>
      </c>
      <c r="O287">
        <v>2013</v>
      </c>
      <c r="P287">
        <v>27588</v>
      </c>
      <c r="Q287">
        <v>25932.720000000001</v>
      </c>
      <c r="R287">
        <v>19035.72</v>
      </c>
      <c r="S287" s="22">
        <v>0.73404255319148937</v>
      </c>
      <c r="T287" t="str" cm="1">
        <f t="array" ref="T287">_xlfn.SWITCH(TRUE,data[[#This Row],[Profit Margin]]&lt;0,"Negative",data[[#This Row],[Profit Margin]]&lt;0.1,"Low",data[[#This Row],[Profit Margin]]&lt;0.2,"Medium","High")</f>
        <v>High</v>
      </c>
    </row>
    <row r="288" spans="1:20" x14ac:dyDescent="0.35">
      <c r="A288">
        <v>287</v>
      </c>
      <c r="B288" s="1" t="s">
        <v>18</v>
      </c>
      <c r="C288" s="1" t="s">
        <v>38</v>
      </c>
      <c r="D288" s="1" t="s">
        <v>39</v>
      </c>
      <c r="E288" s="1" t="s">
        <v>48</v>
      </c>
      <c r="F288">
        <v>727</v>
      </c>
      <c r="G288">
        <v>10</v>
      </c>
      <c r="H288">
        <v>350</v>
      </c>
      <c r="I288">
        <v>15267</v>
      </c>
      <c r="J288">
        <v>189020</v>
      </c>
      <c r="K288" s="2">
        <v>41548</v>
      </c>
      <c r="L288">
        <v>10</v>
      </c>
      <c r="M288" s="1" t="s">
        <v>37</v>
      </c>
      <c r="N288" s="1" t="s">
        <v>84</v>
      </c>
      <c r="O288">
        <v>2013</v>
      </c>
      <c r="P288">
        <v>254450</v>
      </c>
      <c r="Q288">
        <v>239183</v>
      </c>
      <c r="R288">
        <v>50163</v>
      </c>
      <c r="S288" s="22">
        <v>0.20972644376899696</v>
      </c>
      <c r="T288" t="str" cm="1">
        <f t="array" ref="T288">_xlfn.SWITCH(TRUE,data[[#This Row],[Profit Margin]]&lt;0,"Negative",data[[#This Row],[Profit Margin]]&lt;0.1,"Low",data[[#This Row],[Profit Margin]]&lt;0.2,"Medium","High")</f>
        <v>High</v>
      </c>
    </row>
    <row r="289" spans="1:20" x14ac:dyDescent="0.35">
      <c r="A289">
        <v>288</v>
      </c>
      <c r="B289" s="1" t="s">
        <v>32</v>
      </c>
      <c r="C289" s="1" t="s">
        <v>19</v>
      </c>
      <c r="D289" s="1" t="s">
        <v>42</v>
      </c>
      <c r="E289" s="1" t="s">
        <v>48</v>
      </c>
      <c r="F289">
        <v>952</v>
      </c>
      <c r="G289">
        <v>120</v>
      </c>
      <c r="H289">
        <v>125</v>
      </c>
      <c r="I289">
        <v>7140</v>
      </c>
      <c r="J289">
        <v>114240</v>
      </c>
      <c r="K289" s="2">
        <v>41671</v>
      </c>
      <c r="L289">
        <v>2</v>
      </c>
      <c r="M289" s="1" t="s">
        <v>40</v>
      </c>
      <c r="N289" s="1" t="s">
        <v>85</v>
      </c>
      <c r="O289">
        <v>2014</v>
      </c>
      <c r="P289">
        <v>119000</v>
      </c>
      <c r="Q289">
        <v>111860</v>
      </c>
      <c r="R289">
        <v>-2380</v>
      </c>
      <c r="S289" s="22">
        <v>-2.1276595744680851E-2</v>
      </c>
      <c r="T289" t="str" cm="1">
        <f t="array" ref="T289">_xlfn.SWITCH(TRUE,data[[#This Row],[Profit Margin]]&lt;0,"Negative",data[[#This Row],[Profit Margin]]&lt;0.1,"Low",data[[#This Row],[Profit Margin]]&lt;0.2,"Medium","High")</f>
        <v>Negative</v>
      </c>
    </row>
    <row r="290" spans="1:20" x14ac:dyDescent="0.35">
      <c r="A290">
        <v>289</v>
      </c>
      <c r="B290" s="1" t="s">
        <v>32</v>
      </c>
      <c r="C290" s="1" t="s">
        <v>38</v>
      </c>
      <c r="D290" s="1" t="s">
        <v>42</v>
      </c>
      <c r="E290" s="1" t="s">
        <v>48</v>
      </c>
      <c r="F290">
        <v>2755</v>
      </c>
      <c r="G290">
        <v>120</v>
      </c>
      <c r="H290">
        <v>125</v>
      </c>
      <c r="I290">
        <v>20662.5</v>
      </c>
      <c r="J290">
        <v>330600</v>
      </c>
      <c r="K290" s="2">
        <v>41671</v>
      </c>
      <c r="L290">
        <v>2</v>
      </c>
      <c r="M290" s="1" t="s">
        <v>40</v>
      </c>
      <c r="N290" s="1" t="s">
        <v>85</v>
      </c>
      <c r="O290">
        <v>2014</v>
      </c>
      <c r="P290">
        <v>344375</v>
      </c>
      <c r="Q290">
        <v>323712.5</v>
      </c>
      <c r="R290">
        <v>-6887.5</v>
      </c>
      <c r="S290" s="22">
        <v>-2.1276595744680851E-2</v>
      </c>
      <c r="T290" t="str" cm="1">
        <f t="array" ref="T290">_xlfn.SWITCH(TRUE,data[[#This Row],[Profit Margin]]&lt;0,"Negative",data[[#This Row],[Profit Margin]]&lt;0.1,"Low",data[[#This Row],[Profit Margin]]&lt;0.2,"Medium","High")</f>
        <v>Negative</v>
      </c>
    </row>
    <row r="291" spans="1:20" x14ac:dyDescent="0.35">
      <c r="A291">
        <v>290</v>
      </c>
      <c r="B291" s="1" t="s">
        <v>24</v>
      </c>
      <c r="C291" s="1" t="s">
        <v>23</v>
      </c>
      <c r="D291" s="1" t="s">
        <v>42</v>
      </c>
      <c r="E291" s="1" t="s">
        <v>48</v>
      </c>
      <c r="F291">
        <v>1530</v>
      </c>
      <c r="G291">
        <v>120</v>
      </c>
      <c r="H291">
        <v>15</v>
      </c>
      <c r="I291">
        <v>1377</v>
      </c>
      <c r="J291">
        <v>15300</v>
      </c>
      <c r="K291" s="2">
        <v>41760</v>
      </c>
      <c r="L291">
        <v>5</v>
      </c>
      <c r="M291" s="1" t="s">
        <v>47</v>
      </c>
      <c r="N291" s="1" t="s">
        <v>47</v>
      </c>
      <c r="O291">
        <v>2014</v>
      </c>
      <c r="P291">
        <v>22950</v>
      </c>
      <c r="Q291">
        <v>21573</v>
      </c>
      <c r="R291">
        <v>6273</v>
      </c>
      <c r="S291" s="22">
        <v>0.29078014184397161</v>
      </c>
      <c r="T291" t="str" cm="1">
        <f t="array" ref="T291">_xlfn.SWITCH(TRUE,data[[#This Row],[Profit Margin]]&lt;0,"Negative",data[[#This Row],[Profit Margin]]&lt;0.1,"Low",data[[#This Row],[Profit Margin]]&lt;0.2,"Medium","High")</f>
        <v>High</v>
      </c>
    </row>
    <row r="292" spans="1:20" x14ac:dyDescent="0.35">
      <c r="A292">
        <v>291</v>
      </c>
      <c r="B292" s="1" t="s">
        <v>18</v>
      </c>
      <c r="C292" s="1" t="s">
        <v>25</v>
      </c>
      <c r="D292" s="1" t="s">
        <v>42</v>
      </c>
      <c r="E292" s="1" t="s">
        <v>48</v>
      </c>
      <c r="F292">
        <v>1496</v>
      </c>
      <c r="G292">
        <v>120</v>
      </c>
      <c r="H292">
        <v>350</v>
      </c>
      <c r="I292">
        <v>31416</v>
      </c>
      <c r="J292">
        <v>388960</v>
      </c>
      <c r="K292" s="2">
        <v>41791</v>
      </c>
      <c r="L292">
        <v>6</v>
      </c>
      <c r="M292" s="1" t="s">
        <v>26</v>
      </c>
      <c r="N292" s="1" t="s">
        <v>78</v>
      </c>
      <c r="O292">
        <v>2014</v>
      </c>
      <c r="P292">
        <v>523600</v>
      </c>
      <c r="Q292">
        <v>492184</v>
      </c>
      <c r="R292">
        <v>103224</v>
      </c>
      <c r="S292" s="22">
        <v>0.20972644376899696</v>
      </c>
      <c r="T292" t="str" cm="1">
        <f t="array" ref="T292">_xlfn.SWITCH(TRUE,data[[#This Row],[Profit Margin]]&lt;0,"Negative",data[[#This Row],[Profit Margin]]&lt;0.1,"Low",data[[#This Row],[Profit Margin]]&lt;0.2,"Medium","High")</f>
        <v>High</v>
      </c>
    </row>
    <row r="293" spans="1:20" x14ac:dyDescent="0.35">
      <c r="A293">
        <v>292</v>
      </c>
      <c r="B293" s="1" t="s">
        <v>18</v>
      </c>
      <c r="C293" s="1" t="s">
        <v>27</v>
      </c>
      <c r="D293" s="1" t="s">
        <v>42</v>
      </c>
      <c r="E293" s="1" t="s">
        <v>48</v>
      </c>
      <c r="F293">
        <v>1498</v>
      </c>
      <c r="G293">
        <v>120</v>
      </c>
      <c r="H293">
        <v>7</v>
      </c>
      <c r="I293">
        <v>629.16</v>
      </c>
      <c r="J293">
        <v>7490</v>
      </c>
      <c r="K293" s="2">
        <v>41791</v>
      </c>
      <c r="L293">
        <v>6</v>
      </c>
      <c r="M293" s="1" t="s">
        <v>26</v>
      </c>
      <c r="N293" s="1" t="s">
        <v>78</v>
      </c>
      <c r="O293">
        <v>2014</v>
      </c>
      <c r="P293">
        <v>10486</v>
      </c>
      <c r="Q293">
        <v>9856.84</v>
      </c>
      <c r="R293">
        <v>2366.84</v>
      </c>
      <c r="S293" s="22">
        <v>0.24012158054711247</v>
      </c>
      <c r="T293" t="str" cm="1">
        <f t="array" ref="T293">_xlfn.SWITCH(TRUE,data[[#This Row],[Profit Margin]]&lt;0,"Negative",data[[#This Row],[Profit Margin]]&lt;0.1,"Low",data[[#This Row],[Profit Margin]]&lt;0.2,"Medium","High")</f>
        <v>High</v>
      </c>
    </row>
    <row r="294" spans="1:20" x14ac:dyDescent="0.35">
      <c r="A294">
        <v>293</v>
      </c>
      <c r="B294" s="1" t="s">
        <v>34</v>
      </c>
      <c r="C294" s="1" t="s">
        <v>25</v>
      </c>
      <c r="D294" s="1" t="s">
        <v>42</v>
      </c>
      <c r="E294" s="1" t="s">
        <v>48</v>
      </c>
      <c r="F294">
        <v>1221</v>
      </c>
      <c r="G294">
        <v>120</v>
      </c>
      <c r="H294">
        <v>300</v>
      </c>
      <c r="I294">
        <v>21978</v>
      </c>
      <c r="J294">
        <v>305250</v>
      </c>
      <c r="K294" s="2">
        <v>41548</v>
      </c>
      <c r="L294">
        <v>10</v>
      </c>
      <c r="M294" s="1" t="s">
        <v>37</v>
      </c>
      <c r="N294" s="1" t="s">
        <v>84</v>
      </c>
      <c r="O294">
        <v>2013</v>
      </c>
      <c r="P294">
        <v>366300</v>
      </c>
      <c r="Q294">
        <v>344322</v>
      </c>
      <c r="R294">
        <v>39072</v>
      </c>
      <c r="S294" s="22">
        <v>0.11347517730496454</v>
      </c>
      <c r="T294" t="str" cm="1">
        <f t="array" ref="T294">_xlfn.SWITCH(TRUE,data[[#This Row],[Profit Margin]]&lt;0,"Negative",data[[#This Row],[Profit Margin]]&lt;0.1,"Low",data[[#This Row],[Profit Margin]]&lt;0.2,"Medium","High")</f>
        <v>Medium</v>
      </c>
    </row>
    <row r="295" spans="1:20" x14ac:dyDescent="0.35">
      <c r="A295">
        <v>294</v>
      </c>
      <c r="B295" s="1" t="s">
        <v>18</v>
      </c>
      <c r="C295" s="1" t="s">
        <v>25</v>
      </c>
      <c r="D295" s="1" t="s">
        <v>42</v>
      </c>
      <c r="E295" s="1" t="s">
        <v>48</v>
      </c>
      <c r="F295">
        <v>2076</v>
      </c>
      <c r="G295">
        <v>120</v>
      </c>
      <c r="H295">
        <v>350</v>
      </c>
      <c r="I295">
        <v>43596</v>
      </c>
      <c r="J295">
        <v>539760</v>
      </c>
      <c r="K295" s="2">
        <v>41548</v>
      </c>
      <c r="L295">
        <v>10</v>
      </c>
      <c r="M295" s="1" t="s">
        <v>37</v>
      </c>
      <c r="N295" s="1" t="s">
        <v>84</v>
      </c>
      <c r="O295">
        <v>2013</v>
      </c>
      <c r="P295">
        <v>726600</v>
      </c>
      <c r="Q295">
        <v>683004</v>
      </c>
      <c r="R295">
        <v>143244</v>
      </c>
      <c r="S295" s="22">
        <v>0.20972644376899696</v>
      </c>
      <c r="T295" t="str" cm="1">
        <f t="array" ref="T295">_xlfn.SWITCH(TRUE,data[[#This Row],[Profit Margin]]&lt;0,"Negative",data[[#This Row],[Profit Margin]]&lt;0.1,"Low",data[[#This Row],[Profit Margin]]&lt;0.2,"Medium","High")</f>
        <v>High</v>
      </c>
    </row>
    <row r="296" spans="1:20" x14ac:dyDescent="0.35">
      <c r="A296">
        <v>295</v>
      </c>
      <c r="B296" s="1" t="s">
        <v>24</v>
      </c>
      <c r="C296" s="1" t="s">
        <v>19</v>
      </c>
      <c r="D296" s="1" t="s">
        <v>43</v>
      </c>
      <c r="E296" s="1" t="s">
        <v>48</v>
      </c>
      <c r="F296">
        <v>2844</v>
      </c>
      <c r="G296">
        <v>250</v>
      </c>
      <c r="H296">
        <v>15</v>
      </c>
      <c r="I296">
        <v>2559.6</v>
      </c>
      <c r="J296">
        <v>28440</v>
      </c>
      <c r="K296" s="2">
        <v>41791</v>
      </c>
      <c r="L296">
        <v>6</v>
      </c>
      <c r="M296" s="1" t="s">
        <v>26</v>
      </c>
      <c r="N296" s="1" t="s">
        <v>78</v>
      </c>
      <c r="O296">
        <v>2014</v>
      </c>
      <c r="P296">
        <v>42660</v>
      </c>
      <c r="Q296">
        <v>40100.400000000001</v>
      </c>
      <c r="R296">
        <v>11660.400000000001</v>
      </c>
      <c r="S296" s="22">
        <v>0.29078014184397166</v>
      </c>
      <c r="T296" t="str" cm="1">
        <f t="array" ref="T296">_xlfn.SWITCH(TRUE,data[[#This Row],[Profit Margin]]&lt;0,"Negative",data[[#This Row],[Profit Margin]]&lt;0.1,"Low",data[[#This Row],[Profit Margin]]&lt;0.2,"Medium","High")</f>
        <v>High</v>
      </c>
    </row>
    <row r="297" spans="1:20" x14ac:dyDescent="0.35">
      <c r="A297">
        <v>296</v>
      </c>
      <c r="B297" s="1" t="s">
        <v>18</v>
      </c>
      <c r="C297" s="1" t="s">
        <v>27</v>
      </c>
      <c r="D297" s="1" t="s">
        <v>43</v>
      </c>
      <c r="E297" s="1" t="s">
        <v>48</v>
      </c>
      <c r="F297">
        <v>1498</v>
      </c>
      <c r="G297">
        <v>250</v>
      </c>
      <c r="H297">
        <v>7</v>
      </c>
      <c r="I297">
        <v>629.16</v>
      </c>
      <c r="J297">
        <v>7490</v>
      </c>
      <c r="K297" s="2">
        <v>41791</v>
      </c>
      <c r="L297">
        <v>6</v>
      </c>
      <c r="M297" s="1" t="s">
        <v>26</v>
      </c>
      <c r="N297" s="1" t="s">
        <v>78</v>
      </c>
      <c r="O297">
        <v>2014</v>
      </c>
      <c r="P297">
        <v>10486</v>
      </c>
      <c r="Q297">
        <v>9856.84</v>
      </c>
      <c r="R297">
        <v>2366.84</v>
      </c>
      <c r="S297" s="22">
        <v>0.24012158054711247</v>
      </c>
      <c r="T297" t="str" cm="1">
        <f t="array" ref="T297">_xlfn.SWITCH(TRUE,data[[#This Row],[Profit Margin]]&lt;0,"Negative",data[[#This Row],[Profit Margin]]&lt;0.1,"Low",data[[#This Row],[Profit Margin]]&lt;0.2,"Medium","High")</f>
        <v>High</v>
      </c>
    </row>
    <row r="298" spans="1:20" x14ac:dyDescent="0.35">
      <c r="A298">
        <v>297</v>
      </c>
      <c r="B298" s="1" t="s">
        <v>34</v>
      </c>
      <c r="C298" s="1" t="s">
        <v>25</v>
      </c>
      <c r="D298" s="1" t="s">
        <v>43</v>
      </c>
      <c r="E298" s="1" t="s">
        <v>48</v>
      </c>
      <c r="F298">
        <v>1221</v>
      </c>
      <c r="G298">
        <v>250</v>
      </c>
      <c r="H298">
        <v>300</v>
      </c>
      <c r="I298">
        <v>21978</v>
      </c>
      <c r="J298">
        <v>305250</v>
      </c>
      <c r="K298" s="2">
        <v>41548</v>
      </c>
      <c r="L298">
        <v>10</v>
      </c>
      <c r="M298" s="1" t="s">
        <v>37</v>
      </c>
      <c r="N298" s="1" t="s">
        <v>84</v>
      </c>
      <c r="O298">
        <v>2013</v>
      </c>
      <c r="P298">
        <v>366300</v>
      </c>
      <c r="Q298">
        <v>344322</v>
      </c>
      <c r="R298">
        <v>39072</v>
      </c>
      <c r="S298" s="22">
        <v>0.11347517730496454</v>
      </c>
      <c r="T298" t="str" cm="1">
        <f t="array" ref="T298">_xlfn.SWITCH(TRUE,data[[#This Row],[Profit Margin]]&lt;0,"Negative",data[[#This Row],[Profit Margin]]&lt;0.1,"Low",data[[#This Row],[Profit Margin]]&lt;0.2,"Medium","High")</f>
        <v>Medium</v>
      </c>
    </row>
    <row r="299" spans="1:20" x14ac:dyDescent="0.35">
      <c r="A299">
        <v>298</v>
      </c>
      <c r="B299" s="1" t="s">
        <v>18</v>
      </c>
      <c r="C299" s="1" t="s">
        <v>27</v>
      </c>
      <c r="D299" s="1" t="s">
        <v>43</v>
      </c>
      <c r="E299" s="1" t="s">
        <v>48</v>
      </c>
      <c r="F299">
        <v>1123</v>
      </c>
      <c r="G299">
        <v>250</v>
      </c>
      <c r="H299">
        <v>20</v>
      </c>
      <c r="I299">
        <v>1347.6</v>
      </c>
      <c r="J299">
        <v>11230</v>
      </c>
      <c r="K299" s="2">
        <v>41579</v>
      </c>
      <c r="L299">
        <v>11</v>
      </c>
      <c r="M299" s="1" t="s">
        <v>41</v>
      </c>
      <c r="N299" s="1" t="s">
        <v>86</v>
      </c>
      <c r="O299">
        <v>2013</v>
      </c>
      <c r="P299">
        <v>22460</v>
      </c>
      <c r="Q299">
        <v>21112.400000000001</v>
      </c>
      <c r="R299">
        <v>9882.4000000000015</v>
      </c>
      <c r="S299" s="22">
        <v>0.46808510638297873</v>
      </c>
      <c r="T299" t="str" cm="1">
        <f t="array" ref="T299">_xlfn.SWITCH(TRUE,data[[#This Row],[Profit Margin]]&lt;0,"Negative",data[[#This Row],[Profit Margin]]&lt;0.1,"Low",data[[#This Row],[Profit Margin]]&lt;0.2,"Medium","High")</f>
        <v>High</v>
      </c>
    </row>
    <row r="300" spans="1:20" x14ac:dyDescent="0.35">
      <c r="A300">
        <v>299</v>
      </c>
      <c r="B300" s="1" t="s">
        <v>34</v>
      </c>
      <c r="C300" s="1" t="s">
        <v>19</v>
      </c>
      <c r="D300" s="1" t="s">
        <v>43</v>
      </c>
      <c r="E300" s="1" t="s">
        <v>48</v>
      </c>
      <c r="F300">
        <v>2436</v>
      </c>
      <c r="G300">
        <v>250</v>
      </c>
      <c r="H300">
        <v>300</v>
      </c>
      <c r="I300">
        <v>43848</v>
      </c>
      <c r="J300">
        <v>609000</v>
      </c>
      <c r="K300" s="2">
        <v>41609</v>
      </c>
      <c r="L300">
        <v>12</v>
      </c>
      <c r="M300" s="1" t="s">
        <v>28</v>
      </c>
      <c r="N300" s="1" t="s">
        <v>79</v>
      </c>
      <c r="O300">
        <v>2013</v>
      </c>
      <c r="P300">
        <v>730800</v>
      </c>
      <c r="Q300">
        <v>686952</v>
      </c>
      <c r="R300">
        <v>77952</v>
      </c>
      <c r="S300" s="22">
        <v>0.11347517730496454</v>
      </c>
      <c r="T300" t="str" cm="1">
        <f t="array" ref="T300">_xlfn.SWITCH(TRUE,data[[#This Row],[Profit Margin]]&lt;0,"Negative",data[[#This Row],[Profit Margin]]&lt;0.1,"Low",data[[#This Row],[Profit Margin]]&lt;0.2,"Medium","High")</f>
        <v>Medium</v>
      </c>
    </row>
    <row r="301" spans="1:20" x14ac:dyDescent="0.35">
      <c r="A301">
        <v>300</v>
      </c>
      <c r="B301" s="1" t="s">
        <v>32</v>
      </c>
      <c r="C301" s="1" t="s">
        <v>25</v>
      </c>
      <c r="D301" s="1" t="s">
        <v>45</v>
      </c>
      <c r="E301" s="1" t="s">
        <v>48</v>
      </c>
      <c r="F301">
        <v>1987.5</v>
      </c>
      <c r="G301">
        <v>260</v>
      </c>
      <c r="H301">
        <v>125</v>
      </c>
      <c r="I301">
        <v>14906.25</v>
      </c>
      <c r="J301">
        <v>238500</v>
      </c>
      <c r="K301" s="2">
        <v>41640</v>
      </c>
      <c r="L301">
        <v>1</v>
      </c>
      <c r="M301" s="1" t="s">
        <v>22</v>
      </c>
      <c r="N301" s="1" t="s">
        <v>77</v>
      </c>
      <c r="O301">
        <v>2014</v>
      </c>
      <c r="P301">
        <v>248437.5</v>
      </c>
      <c r="Q301">
        <v>233531.25</v>
      </c>
      <c r="R301">
        <v>-4968.75</v>
      </c>
      <c r="S301" s="22">
        <v>-2.1276595744680851E-2</v>
      </c>
      <c r="T301" t="str" cm="1">
        <f t="array" ref="T301">_xlfn.SWITCH(TRUE,data[[#This Row],[Profit Margin]]&lt;0,"Negative",data[[#This Row],[Profit Margin]]&lt;0.1,"Low",data[[#This Row],[Profit Margin]]&lt;0.2,"Medium","High")</f>
        <v>Negative</v>
      </c>
    </row>
    <row r="302" spans="1:20" x14ac:dyDescent="0.35">
      <c r="A302">
        <v>301</v>
      </c>
      <c r="B302" s="1" t="s">
        <v>18</v>
      </c>
      <c r="C302" s="1" t="s">
        <v>27</v>
      </c>
      <c r="D302" s="1" t="s">
        <v>45</v>
      </c>
      <c r="E302" s="1" t="s">
        <v>48</v>
      </c>
      <c r="F302">
        <v>1679</v>
      </c>
      <c r="G302">
        <v>260</v>
      </c>
      <c r="H302">
        <v>350</v>
      </c>
      <c r="I302">
        <v>35259</v>
      </c>
      <c r="J302">
        <v>436540</v>
      </c>
      <c r="K302" s="2">
        <v>41883</v>
      </c>
      <c r="L302">
        <v>9</v>
      </c>
      <c r="M302" s="1" t="s">
        <v>36</v>
      </c>
      <c r="N302" s="1" t="s">
        <v>83</v>
      </c>
      <c r="O302">
        <v>2014</v>
      </c>
      <c r="P302">
        <v>587650</v>
      </c>
      <c r="Q302">
        <v>552391</v>
      </c>
      <c r="R302">
        <v>115851</v>
      </c>
      <c r="S302" s="22">
        <v>0.20972644376899696</v>
      </c>
      <c r="T302" t="str" cm="1">
        <f t="array" ref="T302">_xlfn.SWITCH(TRUE,data[[#This Row],[Profit Margin]]&lt;0,"Negative",data[[#This Row],[Profit Margin]]&lt;0.1,"Low",data[[#This Row],[Profit Margin]]&lt;0.2,"Medium","High")</f>
        <v>High</v>
      </c>
    </row>
    <row r="303" spans="1:20" x14ac:dyDescent="0.35">
      <c r="A303">
        <v>302</v>
      </c>
      <c r="B303" s="1" t="s">
        <v>18</v>
      </c>
      <c r="C303" s="1" t="s">
        <v>38</v>
      </c>
      <c r="D303" s="1" t="s">
        <v>45</v>
      </c>
      <c r="E303" s="1" t="s">
        <v>48</v>
      </c>
      <c r="F303">
        <v>727</v>
      </c>
      <c r="G303">
        <v>260</v>
      </c>
      <c r="H303">
        <v>350</v>
      </c>
      <c r="I303">
        <v>15267</v>
      </c>
      <c r="J303">
        <v>189020</v>
      </c>
      <c r="K303" s="2">
        <v>41548</v>
      </c>
      <c r="L303">
        <v>10</v>
      </c>
      <c r="M303" s="1" t="s">
        <v>37</v>
      </c>
      <c r="N303" s="1" t="s">
        <v>84</v>
      </c>
      <c r="O303">
        <v>2013</v>
      </c>
      <c r="P303">
        <v>254450</v>
      </c>
      <c r="Q303">
        <v>239183</v>
      </c>
      <c r="R303">
        <v>50163</v>
      </c>
      <c r="S303" s="22">
        <v>0.20972644376899696</v>
      </c>
      <c r="T303" t="str" cm="1">
        <f t="array" ref="T303">_xlfn.SWITCH(TRUE,data[[#This Row],[Profit Margin]]&lt;0,"Negative",data[[#This Row],[Profit Margin]]&lt;0.1,"Low",data[[#This Row],[Profit Margin]]&lt;0.2,"Medium","High")</f>
        <v>High</v>
      </c>
    </row>
    <row r="304" spans="1:20" x14ac:dyDescent="0.35">
      <c r="A304">
        <v>303</v>
      </c>
      <c r="B304" s="1" t="s">
        <v>18</v>
      </c>
      <c r="C304" s="1" t="s">
        <v>25</v>
      </c>
      <c r="D304" s="1" t="s">
        <v>45</v>
      </c>
      <c r="E304" s="1" t="s">
        <v>48</v>
      </c>
      <c r="F304">
        <v>1403</v>
      </c>
      <c r="G304">
        <v>260</v>
      </c>
      <c r="H304">
        <v>7</v>
      </c>
      <c r="I304">
        <v>589.26</v>
      </c>
      <c r="J304">
        <v>7015</v>
      </c>
      <c r="K304" s="2">
        <v>41548</v>
      </c>
      <c r="L304">
        <v>10</v>
      </c>
      <c r="M304" s="1" t="s">
        <v>37</v>
      </c>
      <c r="N304" s="1" t="s">
        <v>84</v>
      </c>
      <c r="O304">
        <v>2013</v>
      </c>
      <c r="P304">
        <v>9821</v>
      </c>
      <c r="Q304">
        <v>9231.74</v>
      </c>
      <c r="R304">
        <v>2216.7399999999998</v>
      </c>
      <c r="S304" s="22">
        <v>0.24012158054711244</v>
      </c>
      <c r="T304" t="str" cm="1">
        <f t="array" ref="T304">_xlfn.SWITCH(TRUE,data[[#This Row],[Profit Margin]]&lt;0,"Negative",data[[#This Row],[Profit Margin]]&lt;0.1,"Low",data[[#This Row],[Profit Margin]]&lt;0.2,"Medium","High")</f>
        <v>High</v>
      </c>
    </row>
    <row r="305" spans="1:20" x14ac:dyDescent="0.35">
      <c r="A305">
        <v>304</v>
      </c>
      <c r="B305" s="1" t="s">
        <v>18</v>
      </c>
      <c r="C305" s="1" t="s">
        <v>25</v>
      </c>
      <c r="D305" s="1" t="s">
        <v>45</v>
      </c>
      <c r="E305" s="1" t="s">
        <v>48</v>
      </c>
      <c r="F305">
        <v>2076</v>
      </c>
      <c r="G305">
        <v>260</v>
      </c>
      <c r="H305">
        <v>350</v>
      </c>
      <c r="I305">
        <v>43596</v>
      </c>
      <c r="J305">
        <v>539760</v>
      </c>
      <c r="K305" s="2">
        <v>41548</v>
      </c>
      <c r="L305">
        <v>10</v>
      </c>
      <c r="M305" s="1" t="s">
        <v>37</v>
      </c>
      <c r="N305" s="1" t="s">
        <v>84</v>
      </c>
      <c r="O305">
        <v>2013</v>
      </c>
      <c r="P305">
        <v>726600</v>
      </c>
      <c r="Q305">
        <v>683004</v>
      </c>
      <c r="R305">
        <v>143244</v>
      </c>
      <c r="S305" s="22">
        <v>0.20972644376899696</v>
      </c>
      <c r="T305" t="str" cm="1">
        <f t="array" ref="T305">_xlfn.SWITCH(TRUE,data[[#This Row],[Profit Margin]]&lt;0,"Negative",data[[#This Row],[Profit Margin]]&lt;0.1,"Low",data[[#This Row],[Profit Margin]]&lt;0.2,"Medium","High")</f>
        <v>High</v>
      </c>
    </row>
    <row r="306" spans="1:20" x14ac:dyDescent="0.35">
      <c r="A306">
        <v>305</v>
      </c>
      <c r="B306" s="1" t="s">
        <v>18</v>
      </c>
      <c r="C306" s="1" t="s">
        <v>25</v>
      </c>
      <c r="D306" s="1" t="s">
        <v>29</v>
      </c>
      <c r="E306" s="1" t="s">
        <v>48</v>
      </c>
      <c r="F306">
        <v>1757</v>
      </c>
      <c r="G306">
        <v>5</v>
      </c>
      <c r="H306">
        <v>20</v>
      </c>
      <c r="I306">
        <v>2108.4</v>
      </c>
      <c r="J306">
        <v>17570</v>
      </c>
      <c r="K306" s="2">
        <v>41548</v>
      </c>
      <c r="L306">
        <v>10</v>
      </c>
      <c r="M306" s="1" t="s">
        <v>37</v>
      </c>
      <c r="N306" s="1" t="s">
        <v>84</v>
      </c>
      <c r="O306">
        <v>2013</v>
      </c>
      <c r="P306">
        <v>35140</v>
      </c>
      <c r="Q306">
        <v>33031.599999999999</v>
      </c>
      <c r="R306">
        <v>15461.599999999999</v>
      </c>
      <c r="S306" s="22">
        <v>0.46808510638297868</v>
      </c>
      <c r="T306" t="str" cm="1">
        <f t="array" ref="T306">_xlfn.SWITCH(TRUE,data[[#This Row],[Profit Margin]]&lt;0,"Negative",data[[#This Row],[Profit Margin]]&lt;0.1,"Low",data[[#This Row],[Profit Margin]]&lt;0.2,"Medium","High")</f>
        <v>High</v>
      </c>
    </row>
    <row r="307" spans="1:20" x14ac:dyDescent="0.35">
      <c r="A307">
        <v>306</v>
      </c>
      <c r="B307" s="1" t="s">
        <v>24</v>
      </c>
      <c r="C307" s="1" t="s">
        <v>38</v>
      </c>
      <c r="D307" s="1" t="s">
        <v>39</v>
      </c>
      <c r="E307" s="1" t="s">
        <v>48</v>
      </c>
      <c r="F307">
        <v>2198</v>
      </c>
      <c r="G307">
        <v>10</v>
      </c>
      <c r="H307">
        <v>15</v>
      </c>
      <c r="I307">
        <v>1978.2</v>
      </c>
      <c r="J307">
        <v>21980</v>
      </c>
      <c r="K307" s="2">
        <v>41852</v>
      </c>
      <c r="L307">
        <v>8</v>
      </c>
      <c r="M307" s="1" t="s">
        <v>35</v>
      </c>
      <c r="N307" s="1" t="s">
        <v>82</v>
      </c>
      <c r="O307">
        <v>2014</v>
      </c>
      <c r="P307">
        <v>32970</v>
      </c>
      <c r="Q307">
        <v>30991.8</v>
      </c>
      <c r="R307">
        <v>9011.7999999999993</v>
      </c>
      <c r="S307" s="22">
        <v>0.29078014184397161</v>
      </c>
      <c r="T307" t="str" cm="1">
        <f t="array" ref="T307">_xlfn.SWITCH(TRUE,data[[#This Row],[Profit Margin]]&lt;0,"Negative",data[[#This Row],[Profit Margin]]&lt;0.1,"Low",data[[#This Row],[Profit Margin]]&lt;0.2,"Medium","High")</f>
        <v>High</v>
      </c>
    </row>
    <row r="308" spans="1:20" x14ac:dyDescent="0.35">
      <c r="A308">
        <v>307</v>
      </c>
      <c r="B308" s="1" t="s">
        <v>24</v>
      </c>
      <c r="C308" s="1" t="s">
        <v>23</v>
      </c>
      <c r="D308" s="1" t="s">
        <v>39</v>
      </c>
      <c r="E308" s="1" t="s">
        <v>48</v>
      </c>
      <c r="F308">
        <v>1743</v>
      </c>
      <c r="G308">
        <v>10</v>
      </c>
      <c r="H308">
        <v>15</v>
      </c>
      <c r="I308">
        <v>1568.7</v>
      </c>
      <c r="J308">
        <v>17430</v>
      </c>
      <c r="K308" s="2">
        <v>41852</v>
      </c>
      <c r="L308">
        <v>8</v>
      </c>
      <c r="M308" s="1" t="s">
        <v>35</v>
      </c>
      <c r="N308" s="1" t="s">
        <v>82</v>
      </c>
      <c r="O308">
        <v>2014</v>
      </c>
      <c r="P308">
        <v>26145</v>
      </c>
      <c r="Q308">
        <v>24576.3</v>
      </c>
      <c r="R308">
        <v>7146.2999999999993</v>
      </c>
      <c r="S308" s="22">
        <v>0.29078014184397161</v>
      </c>
      <c r="T308" t="str" cm="1">
        <f t="array" ref="T308">_xlfn.SWITCH(TRUE,data[[#This Row],[Profit Margin]]&lt;0,"Negative",data[[#This Row],[Profit Margin]]&lt;0.1,"Low",data[[#This Row],[Profit Margin]]&lt;0.2,"Medium","High")</f>
        <v>High</v>
      </c>
    </row>
    <row r="309" spans="1:20" x14ac:dyDescent="0.35">
      <c r="A309">
        <v>308</v>
      </c>
      <c r="B309" s="1" t="s">
        <v>24</v>
      </c>
      <c r="C309" s="1" t="s">
        <v>38</v>
      </c>
      <c r="D309" s="1" t="s">
        <v>39</v>
      </c>
      <c r="E309" s="1" t="s">
        <v>48</v>
      </c>
      <c r="F309">
        <v>1153</v>
      </c>
      <c r="G309">
        <v>10</v>
      </c>
      <c r="H309">
        <v>15</v>
      </c>
      <c r="I309">
        <v>1037.7</v>
      </c>
      <c r="J309">
        <v>11530</v>
      </c>
      <c r="K309" s="2">
        <v>41913</v>
      </c>
      <c r="L309">
        <v>10</v>
      </c>
      <c r="M309" s="1" t="s">
        <v>37</v>
      </c>
      <c r="N309" s="1" t="s">
        <v>84</v>
      </c>
      <c r="O309">
        <v>2014</v>
      </c>
      <c r="P309">
        <v>17295</v>
      </c>
      <c r="Q309">
        <v>16257.3</v>
      </c>
      <c r="R309">
        <v>4727.2999999999993</v>
      </c>
      <c r="S309" s="22">
        <v>0.29078014184397161</v>
      </c>
      <c r="T309" t="str" cm="1">
        <f t="array" ref="T309">_xlfn.SWITCH(TRUE,data[[#This Row],[Profit Margin]]&lt;0,"Negative",data[[#This Row],[Profit Margin]]&lt;0.1,"Low",data[[#This Row],[Profit Margin]]&lt;0.2,"Medium","High")</f>
        <v>High</v>
      </c>
    </row>
    <row r="310" spans="1:20" x14ac:dyDescent="0.35">
      <c r="A310">
        <v>309</v>
      </c>
      <c r="B310" s="1" t="s">
        <v>18</v>
      </c>
      <c r="C310" s="1" t="s">
        <v>25</v>
      </c>
      <c r="D310" s="1" t="s">
        <v>39</v>
      </c>
      <c r="E310" s="1" t="s">
        <v>48</v>
      </c>
      <c r="F310">
        <v>1757</v>
      </c>
      <c r="G310">
        <v>10</v>
      </c>
      <c r="H310">
        <v>20</v>
      </c>
      <c r="I310">
        <v>2108.4</v>
      </c>
      <c r="J310">
        <v>17570</v>
      </c>
      <c r="K310" s="2">
        <v>41548</v>
      </c>
      <c r="L310">
        <v>10</v>
      </c>
      <c r="M310" s="1" t="s">
        <v>37</v>
      </c>
      <c r="N310" s="1" t="s">
        <v>84</v>
      </c>
      <c r="O310">
        <v>2013</v>
      </c>
      <c r="P310">
        <v>35140</v>
      </c>
      <c r="Q310">
        <v>33031.599999999999</v>
      </c>
      <c r="R310">
        <v>15461.599999999999</v>
      </c>
      <c r="S310" s="22">
        <v>0.46808510638297868</v>
      </c>
      <c r="T310" t="str" cm="1">
        <f t="array" ref="T310">_xlfn.SWITCH(TRUE,data[[#This Row],[Profit Margin]]&lt;0,"Negative",data[[#This Row],[Profit Margin]]&lt;0.1,"Low",data[[#This Row],[Profit Margin]]&lt;0.2,"Medium","High")</f>
        <v>High</v>
      </c>
    </row>
    <row r="311" spans="1:20" x14ac:dyDescent="0.35">
      <c r="A311">
        <v>310</v>
      </c>
      <c r="B311" s="1" t="s">
        <v>18</v>
      </c>
      <c r="C311" s="1" t="s">
        <v>23</v>
      </c>
      <c r="D311" s="1" t="s">
        <v>42</v>
      </c>
      <c r="E311" s="1" t="s">
        <v>48</v>
      </c>
      <c r="F311">
        <v>1001</v>
      </c>
      <c r="G311">
        <v>120</v>
      </c>
      <c r="H311">
        <v>20</v>
      </c>
      <c r="I311">
        <v>1201.2</v>
      </c>
      <c r="J311">
        <v>10010</v>
      </c>
      <c r="K311" s="2">
        <v>41852</v>
      </c>
      <c r="L311">
        <v>8</v>
      </c>
      <c r="M311" s="1" t="s">
        <v>35</v>
      </c>
      <c r="N311" s="1" t="s">
        <v>82</v>
      </c>
      <c r="O311">
        <v>2014</v>
      </c>
      <c r="P311">
        <v>20020</v>
      </c>
      <c r="Q311">
        <v>18818.8</v>
      </c>
      <c r="R311">
        <v>8808.7999999999993</v>
      </c>
      <c r="S311" s="22">
        <v>0.46808510638297868</v>
      </c>
      <c r="T311" t="str" cm="1">
        <f t="array" ref="T311">_xlfn.SWITCH(TRUE,data[[#This Row],[Profit Margin]]&lt;0,"Negative",data[[#This Row],[Profit Margin]]&lt;0.1,"Low",data[[#This Row],[Profit Margin]]&lt;0.2,"Medium","High")</f>
        <v>High</v>
      </c>
    </row>
    <row r="312" spans="1:20" x14ac:dyDescent="0.35">
      <c r="A312">
        <v>311</v>
      </c>
      <c r="B312" s="1" t="s">
        <v>18</v>
      </c>
      <c r="C312" s="1" t="s">
        <v>27</v>
      </c>
      <c r="D312" s="1" t="s">
        <v>42</v>
      </c>
      <c r="E312" s="1" t="s">
        <v>48</v>
      </c>
      <c r="F312">
        <v>1333</v>
      </c>
      <c r="G312">
        <v>120</v>
      </c>
      <c r="H312">
        <v>7</v>
      </c>
      <c r="I312">
        <v>559.86</v>
      </c>
      <c r="J312">
        <v>6665</v>
      </c>
      <c r="K312" s="2">
        <v>41944</v>
      </c>
      <c r="L312">
        <v>11</v>
      </c>
      <c r="M312" s="1" t="s">
        <v>41</v>
      </c>
      <c r="N312" s="1" t="s">
        <v>86</v>
      </c>
      <c r="O312">
        <v>2014</v>
      </c>
      <c r="P312">
        <v>9331</v>
      </c>
      <c r="Q312">
        <v>8771.14</v>
      </c>
      <c r="R312">
        <v>2106.1399999999994</v>
      </c>
      <c r="S312" s="22">
        <v>0.24012158054711241</v>
      </c>
      <c r="T312" t="str" cm="1">
        <f t="array" ref="T312">_xlfn.SWITCH(TRUE,data[[#This Row],[Profit Margin]]&lt;0,"Negative",data[[#This Row],[Profit Margin]]&lt;0.1,"Low",data[[#This Row],[Profit Margin]]&lt;0.2,"Medium","High")</f>
        <v>High</v>
      </c>
    </row>
    <row r="313" spans="1:20" x14ac:dyDescent="0.35">
      <c r="A313">
        <v>312</v>
      </c>
      <c r="B313" s="1" t="s">
        <v>24</v>
      </c>
      <c r="C313" s="1" t="s">
        <v>38</v>
      </c>
      <c r="D313" s="1" t="s">
        <v>43</v>
      </c>
      <c r="E313" s="1" t="s">
        <v>48</v>
      </c>
      <c r="F313">
        <v>1153</v>
      </c>
      <c r="G313">
        <v>250</v>
      </c>
      <c r="H313">
        <v>15</v>
      </c>
      <c r="I313">
        <v>1037.7</v>
      </c>
      <c r="J313">
        <v>11530</v>
      </c>
      <c r="K313" s="2">
        <v>41913</v>
      </c>
      <c r="L313">
        <v>10</v>
      </c>
      <c r="M313" s="1" t="s">
        <v>37</v>
      </c>
      <c r="N313" s="1" t="s">
        <v>84</v>
      </c>
      <c r="O313">
        <v>2014</v>
      </c>
      <c r="P313">
        <v>17295</v>
      </c>
      <c r="Q313">
        <v>16257.3</v>
      </c>
      <c r="R313">
        <v>4727.2999999999993</v>
      </c>
      <c r="S313" s="22">
        <v>0.29078014184397161</v>
      </c>
      <c r="T313" t="str" cm="1">
        <f t="array" ref="T313">_xlfn.SWITCH(TRUE,data[[#This Row],[Profit Margin]]&lt;0,"Negative",data[[#This Row],[Profit Margin]]&lt;0.1,"Low",data[[#This Row],[Profit Margin]]&lt;0.2,"Medium","High")</f>
        <v>High</v>
      </c>
    </row>
    <row r="314" spans="1:20" x14ac:dyDescent="0.35">
      <c r="A314">
        <v>313</v>
      </c>
      <c r="B314" s="1" t="s">
        <v>31</v>
      </c>
      <c r="C314" s="1" t="s">
        <v>27</v>
      </c>
      <c r="D314" s="1" t="s">
        <v>20</v>
      </c>
      <c r="E314" s="1" t="s">
        <v>48</v>
      </c>
      <c r="F314">
        <v>727</v>
      </c>
      <c r="G314">
        <v>3</v>
      </c>
      <c r="H314">
        <v>12</v>
      </c>
      <c r="I314">
        <v>610.67999999999995</v>
      </c>
      <c r="J314">
        <v>2181</v>
      </c>
      <c r="K314" s="2">
        <v>41671</v>
      </c>
      <c r="L314">
        <v>2</v>
      </c>
      <c r="M314" s="1" t="s">
        <v>40</v>
      </c>
      <c r="N314" s="1" t="s">
        <v>85</v>
      </c>
      <c r="O314">
        <v>2014</v>
      </c>
      <c r="P314">
        <v>8724</v>
      </c>
      <c r="Q314">
        <v>8113.32</v>
      </c>
      <c r="R314">
        <v>5932.32</v>
      </c>
      <c r="S314" s="22">
        <v>0.73118279569892475</v>
      </c>
      <c r="T314" t="str" cm="1">
        <f t="array" ref="T314">_xlfn.SWITCH(TRUE,data[[#This Row],[Profit Margin]]&lt;0,"Negative",data[[#This Row],[Profit Margin]]&lt;0.1,"Low",data[[#This Row],[Profit Margin]]&lt;0.2,"Medium","High")</f>
        <v>High</v>
      </c>
    </row>
    <row r="315" spans="1:20" x14ac:dyDescent="0.35">
      <c r="A315">
        <v>314</v>
      </c>
      <c r="B315" s="1" t="s">
        <v>31</v>
      </c>
      <c r="C315" s="1" t="s">
        <v>19</v>
      </c>
      <c r="D315" s="1" t="s">
        <v>20</v>
      </c>
      <c r="E315" s="1" t="s">
        <v>48</v>
      </c>
      <c r="F315">
        <v>1884</v>
      </c>
      <c r="G315">
        <v>3</v>
      </c>
      <c r="H315">
        <v>12</v>
      </c>
      <c r="I315">
        <v>1582.56</v>
      </c>
      <c r="J315">
        <v>5652</v>
      </c>
      <c r="K315" s="2">
        <v>41852</v>
      </c>
      <c r="L315">
        <v>8</v>
      </c>
      <c r="M315" s="1" t="s">
        <v>35</v>
      </c>
      <c r="N315" s="1" t="s">
        <v>82</v>
      </c>
      <c r="O315">
        <v>2014</v>
      </c>
      <c r="P315">
        <v>22608</v>
      </c>
      <c r="Q315">
        <v>21025.439999999999</v>
      </c>
      <c r="R315">
        <v>15373.439999999999</v>
      </c>
      <c r="S315" s="22">
        <v>0.73118279569892475</v>
      </c>
      <c r="T315" t="str" cm="1">
        <f t="array" ref="T315">_xlfn.SWITCH(TRUE,data[[#This Row],[Profit Margin]]&lt;0,"Negative",data[[#This Row],[Profit Margin]]&lt;0.1,"Low",data[[#This Row],[Profit Margin]]&lt;0.2,"Medium","High")</f>
        <v>High</v>
      </c>
    </row>
    <row r="316" spans="1:20" x14ac:dyDescent="0.35">
      <c r="A316">
        <v>315</v>
      </c>
      <c r="B316" s="1" t="s">
        <v>18</v>
      </c>
      <c r="C316" s="1" t="s">
        <v>27</v>
      </c>
      <c r="D316" s="1" t="s">
        <v>20</v>
      </c>
      <c r="E316" s="1" t="s">
        <v>48</v>
      </c>
      <c r="F316">
        <v>1834</v>
      </c>
      <c r="G316">
        <v>3</v>
      </c>
      <c r="H316">
        <v>20</v>
      </c>
      <c r="I316">
        <v>2567.6</v>
      </c>
      <c r="J316">
        <v>18340</v>
      </c>
      <c r="K316" s="2">
        <v>41518</v>
      </c>
      <c r="L316">
        <v>9</v>
      </c>
      <c r="M316" s="1" t="s">
        <v>36</v>
      </c>
      <c r="N316" s="1" t="s">
        <v>83</v>
      </c>
      <c r="O316">
        <v>2013</v>
      </c>
      <c r="P316">
        <v>36680</v>
      </c>
      <c r="Q316">
        <v>34112.400000000001</v>
      </c>
      <c r="R316">
        <v>15772.400000000001</v>
      </c>
      <c r="S316" s="22">
        <v>0.4623655913978495</v>
      </c>
      <c r="T316" t="str" cm="1">
        <f t="array" ref="T316">_xlfn.SWITCH(TRUE,data[[#This Row],[Profit Margin]]&lt;0,"Negative",data[[#This Row],[Profit Margin]]&lt;0.1,"Low",data[[#This Row],[Profit Margin]]&lt;0.2,"Medium","High")</f>
        <v>High</v>
      </c>
    </row>
    <row r="317" spans="1:20" x14ac:dyDescent="0.35">
      <c r="A317">
        <v>316</v>
      </c>
      <c r="B317" s="1" t="s">
        <v>31</v>
      </c>
      <c r="C317" s="1" t="s">
        <v>27</v>
      </c>
      <c r="D317" s="1" t="s">
        <v>29</v>
      </c>
      <c r="E317" s="1" t="s">
        <v>48</v>
      </c>
      <c r="F317">
        <v>2340</v>
      </c>
      <c r="G317">
        <v>5</v>
      </c>
      <c r="H317">
        <v>12</v>
      </c>
      <c r="I317">
        <v>1965.6</v>
      </c>
      <c r="J317">
        <v>7020</v>
      </c>
      <c r="K317" s="2">
        <v>41640</v>
      </c>
      <c r="L317">
        <v>1</v>
      </c>
      <c r="M317" s="1" t="s">
        <v>22</v>
      </c>
      <c r="N317" s="1" t="s">
        <v>77</v>
      </c>
      <c r="O317">
        <v>2014</v>
      </c>
      <c r="P317">
        <v>28080</v>
      </c>
      <c r="Q317">
        <v>26114.400000000001</v>
      </c>
      <c r="R317">
        <v>19094.400000000001</v>
      </c>
      <c r="S317" s="22">
        <v>0.73118279569892475</v>
      </c>
      <c r="T317" t="str" cm="1">
        <f t="array" ref="T317">_xlfn.SWITCH(TRUE,data[[#This Row],[Profit Margin]]&lt;0,"Negative",data[[#This Row],[Profit Margin]]&lt;0.1,"Low",data[[#This Row],[Profit Margin]]&lt;0.2,"Medium","High")</f>
        <v>High</v>
      </c>
    </row>
    <row r="318" spans="1:20" x14ac:dyDescent="0.35">
      <c r="A318">
        <v>317</v>
      </c>
      <c r="B318" s="1" t="s">
        <v>31</v>
      </c>
      <c r="C318" s="1" t="s">
        <v>25</v>
      </c>
      <c r="D318" s="1" t="s">
        <v>29</v>
      </c>
      <c r="E318" s="1" t="s">
        <v>48</v>
      </c>
      <c r="F318">
        <v>2342</v>
      </c>
      <c r="G318">
        <v>5</v>
      </c>
      <c r="H318">
        <v>12</v>
      </c>
      <c r="I318">
        <v>1967.28</v>
      </c>
      <c r="J318">
        <v>7026</v>
      </c>
      <c r="K318" s="2">
        <v>41944</v>
      </c>
      <c r="L318">
        <v>11</v>
      </c>
      <c r="M318" s="1" t="s">
        <v>41</v>
      </c>
      <c r="N318" s="1" t="s">
        <v>86</v>
      </c>
      <c r="O318">
        <v>2014</v>
      </c>
      <c r="P318">
        <v>28104</v>
      </c>
      <c r="Q318">
        <v>26136.720000000001</v>
      </c>
      <c r="R318">
        <v>19110.72</v>
      </c>
      <c r="S318" s="22">
        <v>0.73118279569892475</v>
      </c>
      <c r="T318" t="str" cm="1">
        <f t="array" ref="T318">_xlfn.SWITCH(TRUE,data[[#This Row],[Profit Margin]]&lt;0,"Negative",data[[#This Row],[Profit Margin]]&lt;0.1,"Low",data[[#This Row],[Profit Margin]]&lt;0.2,"Medium","High")</f>
        <v>High</v>
      </c>
    </row>
    <row r="319" spans="1:20" x14ac:dyDescent="0.35">
      <c r="A319">
        <v>318</v>
      </c>
      <c r="B319" s="1" t="s">
        <v>18</v>
      </c>
      <c r="C319" s="1" t="s">
        <v>25</v>
      </c>
      <c r="D319" s="1" t="s">
        <v>39</v>
      </c>
      <c r="E319" s="1" t="s">
        <v>48</v>
      </c>
      <c r="F319">
        <v>1031</v>
      </c>
      <c r="G319">
        <v>10</v>
      </c>
      <c r="H319">
        <v>7</v>
      </c>
      <c r="I319">
        <v>505.19</v>
      </c>
      <c r="J319">
        <v>5155</v>
      </c>
      <c r="K319" s="2">
        <v>41518</v>
      </c>
      <c r="L319">
        <v>9</v>
      </c>
      <c r="M319" s="1" t="s">
        <v>36</v>
      </c>
      <c r="N319" s="1" t="s">
        <v>83</v>
      </c>
      <c r="O319">
        <v>2013</v>
      </c>
      <c r="P319">
        <v>7217</v>
      </c>
      <c r="Q319">
        <v>6711.81</v>
      </c>
      <c r="R319">
        <v>1556.8100000000004</v>
      </c>
      <c r="S319" s="22">
        <v>0.23195084485407072</v>
      </c>
      <c r="T319" t="str" cm="1">
        <f t="array" ref="T319">_xlfn.SWITCH(TRUE,data[[#This Row],[Profit Margin]]&lt;0,"Negative",data[[#This Row],[Profit Margin]]&lt;0.1,"Low",data[[#This Row],[Profit Margin]]&lt;0.2,"Medium","High")</f>
        <v>High</v>
      </c>
    </row>
    <row r="320" spans="1:20" x14ac:dyDescent="0.35">
      <c r="A320">
        <v>319</v>
      </c>
      <c r="B320" s="1" t="s">
        <v>24</v>
      </c>
      <c r="C320" s="1" t="s">
        <v>19</v>
      </c>
      <c r="D320" s="1" t="s">
        <v>42</v>
      </c>
      <c r="E320" s="1" t="s">
        <v>48</v>
      </c>
      <c r="F320">
        <v>1262</v>
      </c>
      <c r="G320">
        <v>120</v>
      </c>
      <c r="H320">
        <v>15</v>
      </c>
      <c r="I320">
        <v>1325.1</v>
      </c>
      <c r="J320">
        <v>12620</v>
      </c>
      <c r="K320" s="2">
        <v>41760</v>
      </c>
      <c r="L320">
        <v>5</v>
      </c>
      <c r="M320" s="1" t="s">
        <v>47</v>
      </c>
      <c r="N320" s="1" t="s">
        <v>47</v>
      </c>
      <c r="O320">
        <v>2014</v>
      </c>
      <c r="P320">
        <v>18930</v>
      </c>
      <c r="Q320">
        <v>17604.900000000001</v>
      </c>
      <c r="R320">
        <v>4984.9000000000015</v>
      </c>
      <c r="S320" s="22">
        <v>0.28315412186379935</v>
      </c>
      <c r="T320" t="str" cm="1">
        <f t="array" ref="T320">_xlfn.SWITCH(TRUE,data[[#This Row],[Profit Margin]]&lt;0,"Negative",data[[#This Row],[Profit Margin]]&lt;0.1,"Low",data[[#This Row],[Profit Margin]]&lt;0.2,"Medium","High")</f>
        <v>High</v>
      </c>
    </row>
    <row r="321" spans="1:20" x14ac:dyDescent="0.35">
      <c r="A321">
        <v>320</v>
      </c>
      <c r="B321" s="1" t="s">
        <v>18</v>
      </c>
      <c r="C321" s="1" t="s">
        <v>19</v>
      </c>
      <c r="D321" s="1" t="s">
        <v>42</v>
      </c>
      <c r="E321" s="1" t="s">
        <v>48</v>
      </c>
      <c r="F321">
        <v>1135</v>
      </c>
      <c r="G321">
        <v>120</v>
      </c>
      <c r="H321">
        <v>7</v>
      </c>
      <c r="I321">
        <v>556.15</v>
      </c>
      <c r="J321">
        <v>5675</v>
      </c>
      <c r="K321" s="2">
        <v>41791</v>
      </c>
      <c r="L321">
        <v>6</v>
      </c>
      <c r="M321" s="1" t="s">
        <v>26</v>
      </c>
      <c r="N321" s="1" t="s">
        <v>78</v>
      </c>
      <c r="O321">
        <v>2014</v>
      </c>
      <c r="P321">
        <v>7945</v>
      </c>
      <c r="Q321">
        <v>7388.85</v>
      </c>
      <c r="R321">
        <v>1713.8500000000004</v>
      </c>
      <c r="S321" s="22">
        <v>0.23195084485407069</v>
      </c>
      <c r="T321" t="str" cm="1">
        <f t="array" ref="T321">_xlfn.SWITCH(TRUE,data[[#This Row],[Profit Margin]]&lt;0,"Negative",data[[#This Row],[Profit Margin]]&lt;0.1,"Low",data[[#This Row],[Profit Margin]]&lt;0.2,"Medium","High")</f>
        <v>High</v>
      </c>
    </row>
    <row r="322" spans="1:20" x14ac:dyDescent="0.35">
      <c r="A322">
        <v>321</v>
      </c>
      <c r="B322" s="1" t="s">
        <v>18</v>
      </c>
      <c r="C322" s="1" t="s">
        <v>38</v>
      </c>
      <c r="D322" s="1" t="s">
        <v>42</v>
      </c>
      <c r="E322" s="1" t="s">
        <v>48</v>
      </c>
      <c r="F322">
        <v>547</v>
      </c>
      <c r="G322">
        <v>120</v>
      </c>
      <c r="H322">
        <v>7</v>
      </c>
      <c r="I322">
        <v>268.02999999999997</v>
      </c>
      <c r="J322">
        <v>2735</v>
      </c>
      <c r="K322" s="2">
        <v>41944</v>
      </c>
      <c r="L322">
        <v>11</v>
      </c>
      <c r="M322" s="1" t="s">
        <v>41</v>
      </c>
      <c r="N322" s="1" t="s">
        <v>86</v>
      </c>
      <c r="O322">
        <v>2014</v>
      </c>
      <c r="P322">
        <v>3829</v>
      </c>
      <c r="Q322">
        <v>3560.9700000000003</v>
      </c>
      <c r="R322">
        <v>825.97000000000025</v>
      </c>
      <c r="S322" s="22">
        <v>0.23195084485407072</v>
      </c>
      <c r="T322" t="str" cm="1">
        <f t="array" ref="T322">_xlfn.SWITCH(TRUE,data[[#This Row],[Profit Margin]]&lt;0,"Negative",data[[#This Row],[Profit Margin]]&lt;0.1,"Low",data[[#This Row],[Profit Margin]]&lt;0.2,"Medium","High")</f>
        <v>High</v>
      </c>
    </row>
    <row r="323" spans="1:20" x14ac:dyDescent="0.35">
      <c r="A323">
        <v>322</v>
      </c>
      <c r="B323" s="1" t="s">
        <v>18</v>
      </c>
      <c r="C323" s="1" t="s">
        <v>19</v>
      </c>
      <c r="D323" s="1" t="s">
        <v>42</v>
      </c>
      <c r="E323" s="1" t="s">
        <v>48</v>
      </c>
      <c r="F323">
        <v>1582</v>
      </c>
      <c r="G323">
        <v>120</v>
      </c>
      <c r="H323">
        <v>7</v>
      </c>
      <c r="I323">
        <v>775.18</v>
      </c>
      <c r="J323">
        <v>7910</v>
      </c>
      <c r="K323" s="2">
        <v>41974</v>
      </c>
      <c r="L323">
        <v>12</v>
      </c>
      <c r="M323" s="1" t="s">
        <v>28</v>
      </c>
      <c r="N323" s="1" t="s">
        <v>79</v>
      </c>
      <c r="O323">
        <v>2014</v>
      </c>
      <c r="P323">
        <v>11074</v>
      </c>
      <c r="Q323">
        <v>10298.82</v>
      </c>
      <c r="R323">
        <v>2388.8199999999997</v>
      </c>
      <c r="S323" s="22">
        <v>0.23195084485407064</v>
      </c>
      <c r="T323" t="str" cm="1">
        <f t="array" ref="T323">_xlfn.SWITCH(TRUE,data[[#This Row],[Profit Margin]]&lt;0,"Negative",data[[#This Row],[Profit Margin]]&lt;0.1,"Low",data[[#This Row],[Profit Margin]]&lt;0.2,"Medium","High")</f>
        <v>High</v>
      </c>
    </row>
    <row r="324" spans="1:20" x14ac:dyDescent="0.35">
      <c r="A324">
        <v>323</v>
      </c>
      <c r="B324" s="1" t="s">
        <v>31</v>
      </c>
      <c r="C324" s="1" t="s">
        <v>25</v>
      </c>
      <c r="D324" s="1" t="s">
        <v>43</v>
      </c>
      <c r="E324" s="1" t="s">
        <v>48</v>
      </c>
      <c r="F324">
        <v>1738.5</v>
      </c>
      <c r="G324">
        <v>250</v>
      </c>
      <c r="H324">
        <v>12</v>
      </c>
      <c r="I324">
        <v>1460.34</v>
      </c>
      <c r="J324">
        <v>5215.5</v>
      </c>
      <c r="K324" s="2">
        <v>41730</v>
      </c>
      <c r="L324">
        <v>4</v>
      </c>
      <c r="M324" s="1" t="s">
        <v>44</v>
      </c>
      <c r="N324" s="1" t="s">
        <v>87</v>
      </c>
      <c r="O324">
        <v>2014</v>
      </c>
      <c r="P324">
        <v>20862</v>
      </c>
      <c r="Q324">
        <v>19401.66</v>
      </c>
      <c r="R324">
        <v>14186.16</v>
      </c>
      <c r="S324" s="22">
        <v>0.73118279569892475</v>
      </c>
      <c r="T324" t="str" cm="1">
        <f t="array" ref="T324">_xlfn.SWITCH(TRUE,data[[#This Row],[Profit Margin]]&lt;0,"Negative",data[[#This Row],[Profit Margin]]&lt;0.1,"Low",data[[#This Row],[Profit Margin]]&lt;0.2,"Medium","High")</f>
        <v>High</v>
      </c>
    </row>
    <row r="325" spans="1:20" x14ac:dyDescent="0.35">
      <c r="A325">
        <v>324</v>
      </c>
      <c r="B325" s="1" t="s">
        <v>31</v>
      </c>
      <c r="C325" s="1" t="s">
        <v>23</v>
      </c>
      <c r="D325" s="1" t="s">
        <v>43</v>
      </c>
      <c r="E325" s="1" t="s">
        <v>48</v>
      </c>
      <c r="F325">
        <v>2215</v>
      </c>
      <c r="G325">
        <v>250</v>
      </c>
      <c r="H325">
        <v>12</v>
      </c>
      <c r="I325">
        <v>1860.6</v>
      </c>
      <c r="J325">
        <v>6645</v>
      </c>
      <c r="K325" s="2">
        <v>41518</v>
      </c>
      <c r="L325">
        <v>9</v>
      </c>
      <c r="M325" s="1" t="s">
        <v>36</v>
      </c>
      <c r="N325" s="1" t="s">
        <v>83</v>
      </c>
      <c r="O325">
        <v>2013</v>
      </c>
      <c r="P325">
        <v>26580</v>
      </c>
      <c r="Q325">
        <v>24719.4</v>
      </c>
      <c r="R325">
        <v>18074.400000000001</v>
      </c>
      <c r="S325" s="22">
        <v>0.73118279569892475</v>
      </c>
      <c r="T325" t="str" cm="1">
        <f t="array" ref="T325">_xlfn.SWITCH(TRUE,data[[#This Row],[Profit Margin]]&lt;0,"Negative",data[[#This Row],[Profit Margin]]&lt;0.1,"Low",data[[#This Row],[Profit Margin]]&lt;0.2,"Medium","High")</f>
        <v>High</v>
      </c>
    </row>
    <row r="326" spans="1:20" x14ac:dyDescent="0.35">
      <c r="A326">
        <v>325</v>
      </c>
      <c r="B326" s="1" t="s">
        <v>18</v>
      </c>
      <c r="C326" s="1" t="s">
        <v>19</v>
      </c>
      <c r="D326" s="1" t="s">
        <v>43</v>
      </c>
      <c r="E326" s="1" t="s">
        <v>48</v>
      </c>
      <c r="F326">
        <v>1582</v>
      </c>
      <c r="G326">
        <v>250</v>
      </c>
      <c r="H326">
        <v>7</v>
      </c>
      <c r="I326">
        <v>775.18</v>
      </c>
      <c r="J326">
        <v>7910</v>
      </c>
      <c r="K326" s="2">
        <v>41974</v>
      </c>
      <c r="L326">
        <v>12</v>
      </c>
      <c r="M326" s="1" t="s">
        <v>28</v>
      </c>
      <c r="N326" s="1" t="s">
        <v>79</v>
      </c>
      <c r="O326">
        <v>2014</v>
      </c>
      <c r="P326">
        <v>11074</v>
      </c>
      <c r="Q326">
        <v>10298.82</v>
      </c>
      <c r="R326">
        <v>2388.8199999999997</v>
      </c>
      <c r="S326" s="22">
        <v>0.23195084485407064</v>
      </c>
      <c r="T326" t="str" cm="1">
        <f t="array" ref="T326">_xlfn.SWITCH(TRUE,data[[#This Row],[Profit Margin]]&lt;0,"Negative",data[[#This Row],[Profit Margin]]&lt;0.1,"Low",data[[#This Row],[Profit Margin]]&lt;0.2,"Medium","High")</f>
        <v>High</v>
      </c>
    </row>
    <row r="327" spans="1:20" x14ac:dyDescent="0.35">
      <c r="A327">
        <v>326</v>
      </c>
      <c r="B327" s="1" t="s">
        <v>18</v>
      </c>
      <c r="C327" s="1" t="s">
        <v>19</v>
      </c>
      <c r="D327" s="1" t="s">
        <v>45</v>
      </c>
      <c r="E327" s="1" t="s">
        <v>48</v>
      </c>
      <c r="F327">
        <v>1135</v>
      </c>
      <c r="G327">
        <v>260</v>
      </c>
      <c r="H327">
        <v>7</v>
      </c>
      <c r="I327">
        <v>556.15</v>
      </c>
      <c r="J327">
        <v>5675</v>
      </c>
      <c r="K327" s="2">
        <v>41791</v>
      </c>
      <c r="L327">
        <v>6</v>
      </c>
      <c r="M327" s="1" t="s">
        <v>26</v>
      </c>
      <c r="N327" s="1" t="s">
        <v>78</v>
      </c>
      <c r="O327">
        <v>2014</v>
      </c>
      <c r="P327">
        <v>7945</v>
      </c>
      <c r="Q327">
        <v>7388.85</v>
      </c>
      <c r="R327">
        <v>1713.8500000000004</v>
      </c>
      <c r="S327" s="22">
        <v>0.23195084485407069</v>
      </c>
      <c r="T327" t="str" cm="1">
        <f t="array" ref="T327">_xlfn.SWITCH(TRUE,data[[#This Row],[Profit Margin]]&lt;0,"Negative",data[[#This Row],[Profit Margin]]&lt;0.1,"Low",data[[#This Row],[Profit Margin]]&lt;0.2,"Medium","High")</f>
        <v>High</v>
      </c>
    </row>
    <row r="328" spans="1:20" x14ac:dyDescent="0.35">
      <c r="A328">
        <v>327</v>
      </c>
      <c r="B328" s="1" t="s">
        <v>18</v>
      </c>
      <c r="C328" s="1" t="s">
        <v>38</v>
      </c>
      <c r="D328" s="1" t="s">
        <v>20</v>
      </c>
      <c r="E328" s="1" t="s">
        <v>48</v>
      </c>
      <c r="F328">
        <v>1761</v>
      </c>
      <c r="G328">
        <v>3</v>
      </c>
      <c r="H328">
        <v>350</v>
      </c>
      <c r="I328">
        <v>43144.5</v>
      </c>
      <c r="J328">
        <v>457860</v>
      </c>
      <c r="K328" s="2">
        <v>41699</v>
      </c>
      <c r="L328">
        <v>3</v>
      </c>
      <c r="M328" s="1" t="s">
        <v>30</v>
      </c>
      <c r="N328" s="1" t="s">
        <v>80</v>
      </c>
      <c r="O328">
        <v>2014</v>
      </c>
      <c r="P328">
        <v>616350</v>
      </c>
      <c r="Q328">
        <v>573205.5</v>
      </c>
      <c r="R328">
        <v>115345.5</v>
      </c>
      <c r="S328" s="22">
        <v>0.20122887864823349</v>
      </c>
      <c r="T328" t="str" cm="1">
        <f t="array" ref="T328">_xlfn.SWITCH(TRUE,data[[#This Row],[Profit Margin]]&lt;0,"Negative",data[[#This Row],[Profit Margin]]&lt;0.1,"Low",data[[#This Row],[Profit Margin]]&lt;0.2,"Medium","High")</f>
        <v>High</v>
      </c>
    </row>
    <row r="329" spans="1:20" x14ac:dyDescent="0.35">
      <c r="A329">
        <v>328</v>
      </c>
      <c r="B329" s="1" t="s">
        <v>34</v>
      </c>
      <c r="C329" s="1" t="s">
        <v>25</v>
      </c>
      <c r="D329" s="1" t="s">
        <v>20</v>
      </c>
      <c r="E329" s="1" t="s">
        <v>48</v>
      </c>
      <c r="F329">
        <v>448</v>
      </c>
      <c r="G329">
        <v>3</v>
      </c>
      <c r="H329">
        <v>300</v>
      </c>
      <c r="I329">
        <v>9408</v>
      </c>
      <c r="J329">
        <v>112000</v>
      </c>
      <c r="K329" s="2">
        <v>41791</v>
      </c>
      <c r="L329">
        <v>6</v>
      </c>
      <c r="M329" s="1" t="s">
        <v>26</v>
      </c>
      <c r="N329" s="1" t="s">
        <v>78</v>
      </c>
      <c r="O329">
        <v>2014</v>
      </c>
      <c r="P329">
        <v>134400</v>
      </c>
      <c r="Q329">
        <v>124992</v>
      </c>
      <c r="R329">
        <v>12992</v>
      </c>
      <c r="S329" s="22">
        <v>0.1039426523297491</v>
      </c>
      <c r="T329" t="str" cm="1">
        <f t="array" ref="T329">_xlfn.SWITCH(TRUE,data[[#This Row],[Profit Margin]]&lt;0,"Negative",data[[#This Row],[Profit Margin]]&lt;0.1,"Low",data[[#This Row],[Profit Margin]]&lt;0.2,"Medium","High")</f>
        <v>Medium</v>
      </c>
    </row>
    <row r="330" spans="1:20" x14ac:dyDescent="0.35">
      <c r="A330">
        <v>329</v>
      </c>
      <c r="B330" s="1" t="s">
        <v>34</v>
      </c>
      <c r="C330" s="1" t="s">
        <v>25</v>
      </c>
      <c r="D330" s="1" t="s">
        <v>20</v>
      </c>
      <c r="E330" s="1" t="s">
        <v>48</v>
      </c>
      <c r="F330">
        <v>2181</v>
      </c>
      <c r="G330">
        <v>3</v>
      </c>
      <c r="H330">
        <v>300</v>
      </c>
      <c r="I330">
        <v>45801</v>
      </c>
      <c r="J330">
        <v>545250</v>
      </c>
      <c r="K330" s="2">
        <v>41913</v>
      </c>
      <c r="L330">
        <v>10</v>
      </c>
      <c r="M330" s="1" t="s">
        <v>37</v>
      </c>
      <c r="N330" s="1" t="s">
        <v>84</v>
      </c>
      <c r="O330">
        <v>2014</v>
      </c>
      <c r="P330">
        <v>654300</v>
      </c>
      <c r="Q330">
        <v>608499</v>
      </c>
      <c r="R330">
        <v>63249</v>
      </c>
      <c r="S330" s="22">
        <v>0.1039426523297491</v>
      </c>
      <c r="T330" t="str" cm="1">
        <f t="array" ref="T330">_xlfn.SWITCH(TRUE,data[[#This Row],[Profit Margin]]&lt;0,"Negative",data[[#This Row],[Profit Margin]]&lt;0.1,"Low",data[[#This Row],[Profit Margin]]&lt;0.2,"Medium","High")</f>
        <v>Medium</v>
      </c>
    </row>
    <row r="331" spans="1:20" x14ac:dyDescent="0.35">
      <c r="A331">
        <v>330</v>
      </c>
      <c r="B331" s="1" t="s">
        <v>18</v>
      </c>
      <c r="C331" s="1" t="s">
        <v>25</v>
      </c>
      <c r="D331" s="1" t="s">
        <v>29</v>
      </c>
      <c r="E331" s="1" t="s">
        <v>48</v>
      </c>
      <c r="F331">
        <v>1976</v>
      </c>
      <c r="G331">
        <v>5</v>
      </c>
      <c r="H331">
        <v>20</v>
      </c>
      <c r="I331">
        <v>2766.4</v>
      </c>
      <c r="J331">
        <v>19760</v>
      </c>
      <c r="K331" s="2">
        <v>41913</v>
      </c>
      <c r="L331">
        <v>10</v>
      </c>
      <c r="M331" s="1" t="s">
        <v>37</v>
      </c>
      <c r="N331" s="1" t="s">
        <v>84</v>
      </c>
      <c r="O331">
        <v>2014</v>
      </c>
      <c r="P331">
        <v>39520</v>
      </c>
      <c r="Q331">
        <v>36753.599999999999</v>
      </c>
      <c r="R331">
        <v>16993.599999999999</v>
      </c>
      <c r="S331" s="22">
        <v>0.46236559139784944</v>
      </c>
      <c r="T331" t="str" cm="1">
        <f t="array" ref="T331">_xlfn.SWITCH(TRUE,data[[#This Row],[Profit Margin]]&lt;0,"Negative",data[[#This Row],[Profit Margin]]&lt;0.1,"Low",data[[#This Row],[Profit Margin]]&lt;0.2,"Medium","High")</f>
        <v>High</v>
      </c>
    </row>
    <row r="332" spans="1:20" x14ac:dyDescent="0.35">
      <c r="A332">
        <v>331</v>
      </c>
      <c r="B332" s="1" t="s">
        <v>34</v>
      </c>
      <c r="C332" s="1" t="s">
        <v>25</v>
      </c>
      <c r="D332" s="1" t="s">
        <v>29</v>
      </c>
      <c r="E332" s="1" t="s">
        <v>48</v>
      </c>
      <c r="F332">
        <v>2181</v>
      </c>
      <c r="G332">
        <v>5</v>
      </c>
      <c r="H332">
        <v>300</v>
      </c>
      <c r="I332">
        <v>45801</v>
      </c>
      <c r="J332">
        <v>545250</v>
      </c>
      <c r="K332" s="2">
        <v>41913</v>
      </c>
      <c r="L332">
        <v>10</v>
      </c>
      <c r="M332" s="1" t="s">
        <v>37</v>
      </c>
      <c r="N332" s="1" t="s">
        <v>84</v>
      </c>
      <c r="O332">
        <v>2014</v>
      </c>
      <c r="P332">
        <v>654300</v>
      </c>
      <c r="Q332">
        <v>608499</v>
      </c>
      <c r="R332">
        <v>63249</v>
      </c>
      <c r="S332" s="22">
        <v>0.1039426523297491</v>
      </c>
      <c r="T332" t="str" cm="1">
        <f t="array" ref="T332">_xlfn.SWITCH(TRUE,data[[#This Row],[Profit Margin]]&lt;0,"Negative",data[[#This Row],[Profit Margin]]&lt;0.1,"Low",data[[#This Row],[Profit Margin]]&lt;0.2,"Medium","High")</f>
        <v>Medium</v>
      </c>
    </row>
    <row r="333" spans="1:20" x14ac:dyDescent="0.35">
      <c r="A333">
        <v>332</v>
      </c>
      <c r="B333" s="1" t="s">
        <v>32</v>
      </c>
      <c r="C333" s="1" t="s">
        <v>23</v>
      </c>
      <c r="D333" s="1" t="s">
        <v>29</v>
      </c>
      <c r="E333" s="1" t="s">
        <v>48</v>
      </c>
      <c r="F333">
        <v>2500</v>
      </c>
      <c r="G333">
        <v>5</v>
      </c>
      <c r="H333">
        <v>125</v>
      </c>
      <c r="I333">
        <v>21875</v>
      </c>
      <c r="J333">
        <v>300000</v>
      </c>
      <c r="K333" s="2">
        <v>41579</v>
      </c>
      <c r="L333">
        <v>11</v>
      </c>
      <c r="M333" s="1" t="s">
        <v>41</v>
      </c>
      <c r="N333" s="1" t="s">
        <v>86</v>
      </c>
      <c r="O333">
        <v>2013</v>
      </c>
      <c r="P333">
        <v>312500</v>
      </c>
      <c r="Q333">
        <v>290625</v>
      </c>
      <c r="R333">
        <v>-9375</v>
      </c>
      <c r="S333" s="22">
        <v>-3.2258064516129031E-2</v>
      </c>
      <c r="T333" t="str" cm="1">
        <f t="array" ref="T333">_xlfn.SWITCH(TRUE,data[[#This Row],[Profit Margin]]&lt;0,"Negative",data[[#This Row],[Profit Margin]]&lt;0.1,"Low",data[[#This Row],[Profit Margin]]&lt;0.2,"Medium","High")</f>
        <v>Negative</v>
      </c>
    </row>
    <row r="334" spans="1:20" x14ac:dyDescent="0.35">
      <c r="A334">
        <v>333</v>
      </c>
      <c r="B334" s="1" t="s">
        <v>34</v>
      </c>
      <c r="C334" s="1" t="s">
        <v>19</v>
      </c>
      <c r="D334" s="1" t="s">
        <v>39</v>
      </c>
      <c r="E334" s="1" t="s">
        <v>48</v>
      </c>
      <c r="F334">
        <v>1702</v>
      </c>
      <c r="G334">
        <v>10</v>
      </c>
      <c r="H334">
        <v>300</v>
      </c>
      <c r="I334">
        <v>35742</v>
      </c>
      <c r="J334">
        <v>425500</v>
      </c>
      <c r="K334" s="2">
        <v>41760</v>
      </c>
      <c r="L334">
        <v>5</v>
      </c>
      <c r="M334" s="1" t="s">
        <v>47</v>
      </c>
      <c r="N334" s="1" t="s">
        <v>47</v>
      </c>
      <c r="O334">
        <v>2014</v>
      </c>
      <c r="P334">
        <v>510600</v>
      </c>
      <c r="Q334">
        <v>474858</v>
      </c>
      <c r="R334">
        <v>49358</v>
      </c>
      <c r="S334" s="22">
        <v>0.1039426523297491</v>
      </c>
      <c r="T334" t="str" cm="1">
        <f t="array" ref="T334">_xlfn.SWITCH(TRUE,data[[#This Row],[Profit Margin]]&lt;0,"Negative",data[[#This Row],[Profit Margin]]&lt;0.1,"Low",data[[#This Row],[Profit Margin]]&lt;0.2,"Medium","High")</f>
        <v>Medium</v>
      </c>
    </row>
    <row r="335" spans="1:20" x14ac:dyDescent="0.35">
      <c r="A335">
        <v>334</v>
      </c>
      <c r="B335" s="1" t="s">
        <v>34</v>
      </c>
      <c r="C335" s="1" t="s">
        <v>25</v>
      </c>
      <c r="D335" s="1" t="s">
        <v>39</v>
      </c>
      <c r="E335" s="1" t="s">
        <v>48</v>
      </c>
      <c r="F335">
        <v>448</v>
      </c>
      <c r="G335">
        <v>10</v>
      </c>
      <c r="H335">
        <v>300</v>
      </c>
      <c r="I335">
        <v>9408</v>
      </c>
      <c r="J335">
        <v>112000</v>
      </c>
      <c r="K335" s="2">
        <v>41791</v>
      </c>
      <c r="L335">
        <v>6</v>
      </c>
      <c r="M335" s="1" t="s">
        <v>26</v>
      </c>
      <c r="N335" s="1" t="s">
        <v>78</v>
      </c>
      <c r="O335">
        <v>2014</v>
      </c>
      <c r="P335">
        <v>134400</v>
      </c>
      <c r="Q335">
        <v>124992</v>
      </c>
      <c r="R335">
        <v>12992</v>
      </c>
      <c r="S335" s="22">
        <v>0.1039426523297491</v>
      </c>
      <c r="T335" t="str" cm="1">
        <f t="array" ref="T335">_xlfn.SWITCH(TRUE,data[[#This Row],[Profit Margin]]&lt;0,"Negative",data[[#This Row],[Profit Margin]]&lt;0.1,"Low",data[[#This Row],[Profit Margin]]&lt;0.2,"Medium","High")</f>
        <v>Medium</v>
      </c>
    </row>
    <row r="336" spans="1:20" x14ac:dyDescent="0.35">
      <c r="A336">
        <v>335</v>
      </c>
      <c r="B336" s="1" t="s">
        <v>32</v>
      </c>
      <c r="C336" s="1" t="s">
        <v>23</v>
      </c>
      <c r="D336" s="1" t="s">
        <v>39</v>
      </c>
      <c r="E336" s="1" t="s">
        <v>48</v>
      </c>
      <c r="F336">
        <v>3513</v>
      </c>
      <c r="G336">
        <v>10</v>
      </c>
      <c r="H336">
        <v>125</v>
      </c>
      <c r="I336">
        <v>30738.75</v>
      </c>
      <c r="J336">
        <v>421560</v>
      </c>
      <c r="K336" s="2">
        <v>41821</v>
      </c>
      <c r="L336">
        <v>7</v>
      </c>
      <c r="M336" s="1" t="s">
        <v>33</v>
      </c>
      <c r="N336" s="1" t="s">
        <v>81</v>
      </c>
      <c r="O336">
        <v>2014</v>
      </c>
      <c r="P336">
        <v>439125</v>
      </c>
      <c r="Q336">
        <v>408386.25</v>
      </c>
      <c r="R336">
        <v>-13173.75</v>
      </c>
      <c r="S336" s="22">
        <v>-3.2258064516129031E-2</v>
      </c>
      <c r="T336" t="str" cm="1">
        <f t="array" ref="T336">_xlfn.SWITCH(TRUE,data[[#This Row],[Profit Margin]]&lt;0,"Negative",data[[#This Row],[Profit Margin]]&lt;0.1,"Low",data[[#This Row],[Profit Margin]]&lt;0.2,"Medium","High")</f>
        <v>Negative</v>
      </c>
    </row>
    <row r="337" spans="1:20" x14ac:dyDescent="0.35">
      <c r="A337">
        <v>336</v>
      </c>
      <c r="B337" s="1" t="s">
        <v>24</v>
      </c>
      <c r="C337" s="1" t="s">
        <v>25</v>
      </c>
      <c r="D337" s="1" t="s">
        <v>39</v>
      </c>
      <c r="E337" s="1" t="s">
        <v>48</v>
      </c>
      <c r="F337">
        <v>2101</v>
      </c>
      <c r="G337">
        <v>10</v>
      </c>
      <c r="H337">
        <v>15</v>
      </c>
      <c r="I337">
        <v>2206.0500000000002</v>
      </c>
      <c r="J337">
        <v>21010</v>
      </c>
      <c r="K337" s="2">
        <v>41852</v>
      </c>
      <c r="L337">
        <v>8</v>
      </c>
      <c r="M337" s="1" t="s">
        <v>35</v>
      </c>
      <c r="N337" s="1" t="s">
        <v>82</v>
      </c>
      <c r="O337">
        <v>2014</v>
      </c>
      <c r="P337">
        <v>31515</v>
      </c>
      <c r="Q337">
        <v>29308.95</v>
      </c>
      <c r="R337">
        <v>8298.9500000000007</v>
      </c>
      <c r="S337" s="22">
        <v>0.28315412186379929</v>
      </c>
      <c r="T337" t="str" cm="1">
        <f t="array" ref="T337">_xlfn.SWITCH(TRUE,data[[#This Row],[Profit Margin]]&lt;0,"Negative",data[[#This Row],[Profit Margin]]&lt;0.1,"Low",data[[#This Row],[Profit Margin]]&lt;0.2,"Medium","High")</f>
        <v>High</v>
      </c>
    </row>
    <row r="338" spans="1:20" x14ac:dyDescent="0.35">
      <c r="A338">
        <v>337</v>
      </c>
      <c r="B338" s="1" t="s">
        <v>24</v>
      </c>
      <c r="C338" s="1" t="s">
        <v>38</v>
      </c>
      <c r="D338" s="1" t="s">
        <v>39</v>
      </c>
      <c r="E338" s="1" t="s">
        <v>48</v>
      </c>
      <c r="F338">
        <v>2931</v>
      </c>
      <c r="G338">
        <v>10</v>
      </c>
      <c r="H338">
        <v>15</v>
      </c>
      <c r="I338">
        <v>3077.55</v>
      </c>
      <c r="J338">
        <v>29310</v>
      </c>
      <c r="K338" s="2">
        <v>41518</v>
      </c>
      <c r="L338">
        <v>9</v>
      </c>
      <c r="M338" s="1" t="s">
        <v>36</v>
      </c>
      <c r="N338" s="1" t="s">
        <v>83</v>
      </c>
      <c r="O338">
        <v>2013</v>
      </c>
      <c r="P338">
        <v>43965</v>
      </c>
      <c r="Q338">
        <v>40887.449999999997</v>
      </c>
      <c r="R338">
        <v>11577.449999999997</v>
      </c>
      <c r="S338" s="22">
        <v>0.28315412186379924</v>
      </c>
      <c r="T338" t="str" cm="1">
        <f t="array" ref="T338">_xlfn.SWITCH(TRUE,data[[#This Row],[Profit Margin]]&lt;0,"Negative",data[[#This Row],[Profit Margin]]&lt;0.1,"Low",data[[#This Row],[Profit Margin]]&lt;0.2,"Medium","High")</f>
        <v>High</v>
      </c>
    </row>
    <row r="339" spans="1:20" x14ac:dyDescent="0.35">
      <c r="A339">
        <v>338</v>
      </c>
      <c r="B339" s="1" t="s">
        <v>18</v>
      </c>
      <c r="C339" s="1" t="s">
        <v>25</v>
      </c>
      <c r="D339" s="1" t="s">
        <v>39</v>
      </c>
      <c r="E339" s="1" t="s">
        <v>48</v>
      </c>
      <c r="F339">
        <v>1535</v>
      </c>
      <c r="G339">
        <v>10</v>
      </c>
      <c r="H339">
        <v>20</v>
      </c>
      <c r="I339">
        <v>2149</v>
      </c>
      <c r="J339">
        <v>15350</v>
      </c>
      <c r="K339" s="2">
        <v>41883</v>
      </c>
      <c r="L339">
        <v>9</v>
      </c>
      <c r="M339" s="1" t="s">
        <v>36</v>
      </c>
      <c r="N339" s="1" t="s">
        <v>83</v>
      </c>
      <c r="O339">
        <v>2014</v>
      </c>
      <c r="P339">
        <v>30700</v>
      </c>
      <c r="Q339">
        <v>28551</v>
      </c>
      <c r="R339">
        <v>13201</v>
      </c>
      <c r="S339" s="22">
        <v>0.46236559139784944</v>
      </c>
      <c r="T339" t="str" cm="1">
        <f t="array" ref="T339">_xlfn.SWITCH(TRUE,data[[#This Row],[Profit Margin]]&lt;0,"Negative",data[[#This Row],[Profit Margin]]&lt;0.1,"Low",data[[#This Row],[Profit Margin]]&lt;0.2,"Medium","High")</f>
        <v>High</v>
      </c>
    </row>
    <row r="340" spans="1:20" x14ac:dyDescent="0.35">
      <c r="A340">
        <v>339</v>
      </c>
      <c r="B340" s="1" t="s">
        <v>34</v>
      </c>
      <c r="C340" s="1" t="s">
        <v>23</v>
      </c>
      <c r="D340" s="1" t="s">
        <v>39</v>
      </c>
      <c r="E340" s="1" t="s">
        <v>48</v>
      </c>
      <c r="F340">
        <v>1123</v>
      </c>
      <c r="G340">
        <v>10</v>
      </c>
      <c r="H340">
        <v>300</v>
      </c>
      <c r="I340">
        <v>23583</v>
      </c>
      <c r="J340">
        <v>280750</v>
      </c>
      <c r="K340" s="2">
        <v>41518</v>
      </c>
      <c r="L340">
        <v>9</v>
      </c>
      <c r="M340" s="1" t="s">
        <v>36</v>
      </c>
      <c r="N340" s="1" t="s">
        <v>83</v>
      </c>
      <c r="O340">
        <v>2013</v>
      </c>
      <c r="P340">
        <v>336900</v>
      </c>
      <c r="Q340">
        <v>313317</v>
      </c>
      <c r="R340">
        <v>32567</v>
      </c>
      <c r="S340" s="22">
        <v>0.1039426523297491</v>
      </c>
      <c r="T340" t="str" cm="1">
        <f t="array" ref="T340">_xlfn.SWITCH(TRUE,data[[#This Row],[Profit Margin]]&lt;0,"Negative",data[[#This Row],[Profit Margin]]&lt;0.1,"Low",data[[#This Row],[Profit Margin]]&lt;0.2,"Medium","High")</f>
        <v>Medium</v>
      </c>
    </row>
    <row r="341" spans="1:20" x14ac:dyDescent="0.35">
      <c r="A341">
        <v>340</v>
      </c>
      <c r="B341" s="1" t="s">
        <v>34</v>
      </c>
      <c r="C341" s="1" t="s">
        <v>19</v>
      </c>
      <c r="D341" s="1" t="s">
        <v>39</v>
      </c>
      <c r="E341" s="1" t="s">
        <v>48</v>
      </c>
      <c r="F341">
        <v>1404</v>
      </c>
      <c r="G341">
        <v>10</v>
      </c>
      <c r="H341">
        <v>300</v>
      </c>
      <c r="I341">
        <v>29484</v>
      </c>
      <c r="J341">
        <v>351000</v>
      </c>
      <c r="K341" s="2">
        <v>41579</v>
      </c>
      <c r="L341">
        <v>11</v>
      </c>
      <c r="M341" s="1" t="s">
        <v>41</v>
      </c>
      <c r="N341" s="1" t="s">
        <v>86</v>
      </c>
      <c r="O341">
        <v>2013</v>
      </c>
      <c r="P341">
        <v>421200</v>
      </c>
      <c r="Q341">
        <v>391716</v>
      </c>
      <c r="R341">
        <v>40716</v>
      </c>
      <c r="S341" s="22">
        <v>0.1039426523297491</v>
      </c>
      <c r="T341" t="str" cm="1">
        <f t="array" ref="T341">_xlfn.SWITCH(TRUE,data[[#This Row],[Profit Margin]]&lt;0,"Negative",data[[#This Row],[Profit Margin]]&lt;0.1,"Low",data[[#This Row],[Profit Margin]]&lt;0.2,"Medium","High")</f>
        <v>Medium</v>
      </c>
    </row>
    <row r="342" spans="1:20" x14ac:dyDescent="0.35">
      <c r="A342">
        <v>341</v>
      </c>
      <c r="B342" s="1" t="s">
        <v>31</v>
      </c>
      <c r="C342" s="1" t="s">
        <v>27</v>
      </c>
      <c r="D342" s="1" t="s">
        <v>39</v>
      </c>
      <c r="E342" s="1" t="s">
        <v>48</v>
      </c>
      <c r="F342">
        <v>2763</v>
      </c>
      <c r="G342">
        <v>10</v>
      </c>
      <c r="H342">
        <v>12</v>
      </c>
      <c r="I342">
        <v>2320.92</v>
      </c>
      <c r="J342">
        <v>8289</v>
      </c>
      <c r="K342" s="2">
        <v>41579</v>
      </c>
      <c r="L342">
        <v>11</v>
      </c>
      <c r="M342" s="1" t="s">
        <v>41</v>
      </c>
      <c r="N342" s="1" t="s">
        <v>86</v>
      </c>
      <c r="O342">
        <v>2013</v>
      </c>
      <c r="P342">
        <v>33156</v>
      </c>
      <c r="Q342">
        <v>30835.08</v>
      </c>
      <c r="R342">
        <v>22546.080000000002</v>
      </c>
      <c r="S342" s="22">
        <v>0.73118279569892475</v>
      </c>
      <c r="T342" t="str" cm="1">
        <f t="array" ref="T342">_xlfn.SWITCH(TRUE,data[[#This Row],[Profit Margin]]&lt;0,"Negative",data[[#This Row],[Profit Margin]]&lt;0.1,"Low",data[[#This Row],[Profit Margin]]&lt;0.2,"Medium","High")</f>
        <v>High</v>
      </c>
    </row>
    <row r="343" spans="1:20" x14ac:dyDescent="0.35">
      <c r="A343">
        <v>342</v>
      </c>
      <c r="B343" s="1" t="s">
        <v>18</v>
      </c>
      <c r="C343" s="1" t="s">
        <v>23</v>
      </c>
      <c r="D343" s="1" t="s">
        <v>39</v>
      </c>
      <c r="E343" s="1" t="s">
        <v>48</v>
      </c>
      <c r="F343">
        <v>2125</v>
      </c>
      <c r="G343">
        <v>10</v>
      </c>
      <c r="H343">
        <v>7</v>
      </c>
      <c r="I343">
        <v>1041.25</v>
      </c>
      <c r="J343">
        <v>10625</v>
      </c>
      <c r="K343" s="2">
        <v>41609</v>
      </c>
      <c r="L343">
        <v>12</v>
      </c>
      <c r="M343" s="1" t="s">
        <v>28</v>
      </c>
      <c r="N343" s="1" t="s">
        <v>79</v>
      </c>
      <c r="O343">
        <v>2013</v>
      </c>
      <c r="P343">
        <v>14875</v>
      </c>
      <c r="Q343">
        <v>13833.75</v>
      </c>
      <c r="R343">
        <v>3208.75</v>
      </c>
      <c r="S343" s="22">
        <v>0.23195084485407066</v>
      </c>
      <c r="T343" t="str" cm="1">
        <f t="array" ref="T343">_xlfn.SWITCH(TRUE,data[[#This Row],[Profit Margin]]&lt;0,"Negative",data[[#This Row],[Profit Margin]]&lt;0.1,"Low",data[[#This Row],[Profit Margin]]&lt;0.2,"Medium","High")</f>
        <v>High</v>
      </c>
    </row>
    <row r="344" spans="1:20" x14ac:dyDescent="0.35">
      <c r="A344">
        <v>343</v>
      </c>
      <c r="B344" s="1" t="s">
        <v>34</v>
      </c>
      <c r="C344" s="1" t="s">
        <v>25</v>
      </c>
      <c r="D344" s="1" t="s">
        <v>42</v>
      </c>
      <c r="E344" s="1" t="s">
        <v>48</v>
      </c>
      <c r="F344">
        <v>1659</v>
      </c>
      <c r="G344">
        <v>120</v>
      </c>
      <c r="H344">
        <v>300</v>
      </c>
      <c r="I344">
        <v>34839</v>
      </c>
      <c r="J344">
        <v>414750</v>
      </c>
      <c r="K344" s="2">
        <v>41821</v>
      </c>
      <c r="L344">
        <v>7</v>
      </c>
      <c r="M344" s="1" t="s">
        <v>33</v>
      </c>
      <c r="N344" s="1" t="s">
        <v>81</v>
      </c>
      <c r="O344">
        <v>2014</v>
      </c>
      <c r="P344">
        <v>497700</v>
      </c>
      <c r="Q344">
        <v>462861</v>
      </c>
      <c r="R344">
        <v>48111</v>
      </c>
      <c r="S344" s="22">
        <v>0.1039426523297491</v>
      </c>
      <c r="T344" t="str" cm="1">
        <f t="array" ref="T344">_xlfn.SWITCH(TRUE,data[[#This Row],[Profit Margin]]&lt;0,"Negative",data[[#This Row],[Profit Margin]]&lt;0.1,"Low",data[[#This Row],[Profit Margin]]&lt;0.2,"Medium","High")</f>
        <v>Medium</v>
      </c>
    </row>
    <row r="345" spans="1:20" x14ac:dyDescent="0.35">
      <c r="A345">
        <v>344</v>
      </c>
      <c r="B345" s="1" t="s">
        <v>18</v>
      </c>
      <c r="C345" s="1" t="s">
        <v>27</v>
      </c>
      <c r="D345" s="1" t="s">
        <v>42</v>
      </c>
      <c r="E345" s="1" t="s">
        <v>48</v>
      </c>
      <c r="F345">
        <v>609</v>
      </c>
      <c r="G345">
        <v>120</v>
      </c>
      <c r="H345">
        <v>20</v>
      </c>
      <c r="I345">
        <v>852.6</v>
      </c>
      <c r="J345">
        <v>6090</v>
      </c>
      <c r="K345" s="2">
        <v>41852</v>
      </c>
      <c r="L345">
        <v>8</v>
      </c>
      <c r="M345" s="1" t="s">
        <v>35</v>
      </c>
      <c r="N345" s="1" t="s">
        <v>82</v>
      </c>
      <c r="O345">
        <v>2014</v>
      </c>
      <c r="P345">
        <v>12180</v>
      </c>
      <c r="Q345">
        <v>11327.4</v>
      </c>
      <c r="R345">
        <v>5237.3999999999996</v>
      </c>
      <c r="S345" s="22">
        <v>0.46236559139784944</v>
      </c>
      <c r="T345" t="str" cm="1">
        <f t="array" ref="T345">_xlfn.SWITCH(TRUE,data[[#This Row],[Profit Margin]]&lt;0,"Negative",data[[#This Row],[Profit Margin]]&lt;0.1,"Low",data[[#This Row],[Profit Margin]]&lt;0.2,"Medium","High")</f>
        <v>High</v>
      </c>
    </row>
    <row r="346" spans="1:20" x14ac:dyDescent="0.35">
      <c r="A346">
        <v>345</v>
      </c>
      <c r="B346" s="1" t="s">
        <v>32</v>
      </c>
      <c r="C346" s="1" t="s">
        <v>23</v>
      </c>
      <c r="D346" s="1" t="s">
        <v>42</v>
      </c>
      <c r="E346" s="1" t="s">
        <v>48</v>
      </c>
      <c r="F346">
        <v>2087</v>
      </c>
      <c r="G346">
        <v>120</v>
      </c>
      <c r="H346">
        <v>125</v>
      </c>
      <c r="I346">
        <v>18261.25</v>
      </c>
      <c r="J346">
        <v>250440</v>
      </c>
      <c r="K346" s="2">
        <v>41883</v>
      </c>
      <c r="L346">
        <v>9</v>
      </c>
      <c r="M346" s="1" t="s">
        <v>36</v>
      </c>
      <c r="N346" s="1" t="s">
        <v>83</v>
      </c>
      <c r="O346">
        <v>2014</v>
      </c>
      <c r="P346">
        <v>260875</v>
      </c>
      <c r="Q346">
        <v>242613.75</v>
      </c>
      <c r="R346">
        <v>-7826.25</v>
      </c>
      <c r="S346" s="22">
        <v>-3.2258064516129031E-2</v>
      </c>
      <c r="T346" t="str" cm="1">
        <f t="array" ref="T346">_xlfn.SWITCH(TRUE,data[[#This Row],[Profit Margin]]&lt;0,"Negative",data[[#This Row],[Profit Margin]]&lt;0.1,"Low",data[[#This Row],[Profit Margin]]&lt;0.2,"Medium","High")</f>
        <v>Negative</v>
      </c>
    </row>
    <row r="347" spans="1:20" x14ac:dyDescent="0.35">
      <c r="A347">
        <v>346</v>
      </c>
      <c r="B347" s="1" t="s">
        <v>18</v>
      </c>
      <c r="C347" s="1" t="s">
        <v>25</v>
      </c>
      <c r="D347" s="1" t="s">
        <v>42</v>
      </c>
      <c r="E347" s="1" t="s">
        <v>48</v>
      </c>
      <c r="F347">
        <v>1976</v>
      </c>
      <c r="G347">
        <v>120</v>
      </c>
      <c r="H347">
        <v>20</v>
      </c>
      <c r="I347">
        <v>2766.4</v>
      </c>
      <c r="J347">
        <v>19760</v>
      </c>
      <c r="K347" s="2">
        <v>41913</v>
      </c>
      <c r="L347">
        <v>10</v>
      </c>
      <c r="M347" s="1" t="s">
        <v>37</v>
      </c>
      <c r="N347" s="1" t="s">
        <v>84</v>
      </c>
      <c r="O347">
        <v>2014</v>
      </c>
      <c r="P347">
        <v>39520</v>
      </c>
      <c r="Q347">
        <v>36753.599999999999</v>
      </c>
      <c r="R347">
        <v>16993.599999999999</v>
      </c>
      <c r="S347" s="22">
        <v>0.46236559139784944</v>
      </c>
      <c r="T347" t="str" cm="1">
        <f t="array" ref="T347">_xlfn.SWITCH(TRUE,data[[#This Row],[Profit Margin]]&lt;0,"Negative",data[[#This Row],[Profit Margin]]&lt;0.1,"Low",data[[#This Row],[Profit Margin]]&lt;0.2,"Medium","High")</f>
        <v>High</v>
      </c>
    </row>
    <row r="348" spans="1:20" x14ac:dyDescent="0.35">
      <c r="A348">
        <v>347</v>
      </c>
      <c r="B348" s="1" t="s">
        <v>18</v>
      </c>
      <c r="C348" s="1" t="s">
        <v>38</v>
      </c>
      <c r="D348" s="1" t="s">
        <v>42</v>
      </c>
      <c r="E348" s="1" t="s">
        <v>48</v>
      </c>
      <c r="F348">
        <v>1421</v>
      </c>
      <c r="G348">
        <v>120</v>
      </c>
      <c r="H348">
        <v>20</v>
      </c>
      <c r="I348">
        <v>1989.4</v>
      </c>
      <c r="J348">
        <v>14210</v>
      </c>
      <c r="K348" s="2">
        <v>41609</v>
      </c>
      <c r="L348">
        <v>12</v>
      </c>
      <c r="M348" s="1" t="s">
        <v>28</v>
      </c>
      <c r="N348" s="1" t="s">
        <v>79</v>
      </c>
      <c r="O348">
        <v>2013</v>
      </c>
      <c r="P348">
        <v>28420</v>
      </c>
      <c r="Q348">
        <v>26430.6</v>
      </c>
      <c r="R348">
        <v>12220.599999999999</v>
      </c>
      <c r="S348" s="22">
        <v>0.46236559139784944</v>
      </c>
      <c r="T348" t="str" cm="1">
        <f t="array" ref="T348">_xlfn.SWITCH(TRUE,data[[#This Row],[Profit Margin]]&lt;0,"Negative",data[[#This Row],[Profit Margin]]&lt;0.1,"Low",data[[#This Row],[Profit Margin]]&lt;0.2,"Medium","High")</f>
        <v>High</v>
      </c>
    </row>
    <row r="349" spans="1:20" x14ac:dyDescent="0.35">
      <c r="A349">
        <v>348</v>
      </c>
      <c r="B349" s="1" t="s">
        <v>34</v>
      </c>
      <c r="C349" s="1" t="s">
        <v>38</v>
      </c>
      <c r="D349" s="1" t="s">
        <v>42</v>
      </c>
      <c r="E349" s="1" t="s">
        <v>48</v>
      </c>
      <c r="F349">
        <v>1372</v>
      </c>
      <c r="G349">
        <v>120</v>
      </c>
      <c r="H349">
        <v>300</v>
      </c>
      <c r="I349">
        <v>28812</v>
      </c>
      <c r="J349">
        <v>343000</v>
      </c>
      <c r="K349" s="2">
        <v>41974</v>
      </c>
      <c r="L349">
        <v>12</v>
      </c>
      <c r="M349" s="1" t="s">
        <v>28</v>
      </c>
      <c r="N349" s="1" t="s">
        <v>79</v>
      </c>
      <c r="O349">
        <v>2014</v>
      </c>
      <c r="P349">
        <v>411600</v>
      </c>
      <c r="Q349">
        <v>382788</v>
      </c>
      <c r="R349">
        <v>39788</v>
      </c>
      <c r="S349" s="22">
        <v>0.1039426523297491</v>
      </c>
      <c r="T349" t="str" cm="1">
        <f t="array" ref="T349">_xlfn.SWITCH(TRUE,data[[#This Row],[Profit Margin]]&lt;0,"Negative",data[[#This Row],[Profit Margin]]&lt;0.1,"Low",data[[#This Row],[Profit Margin]]&lt;0.2,"Medium","High")</f>
        <v>Medium</v>
      </c>
    </row>
    <row r="350" spans="1:20" x14ac:dyDescent="0.35">
      <c r="A350">
        <v>349</v>
      </c>
      <c r="B350" s="1" t="s">
        <v>18</v>
      </c>
      <c r="C350" s="1" t="s">
        <v>23</v>
      </c>
      <c r="D350" s="1" t="s">
        <v>42</v>
      </c>
      <c r="E350" s="1" t="s">
        <v>48</v>
      </c>
      <c r="F350">
        <v>588</v>
      </c>
      <c r="G350">
        <v>120</v>
      </c>
      <c r="H350">
        <v>20</v>
      </c>
      <c r="I350">
        <v>823.2</v>
      </c>
      <c r="J350">
        <v>5880</v>
      </c>
      <c r="K350" s="2">
        <v>41609</v>
      </c>
      <c r="L350">
        <v>12</v>
      </c>
      <c r="M350" s="1" t="s">
        <v>28</v>
      </c>
      <c r="N350" s="1" t="s">
        <v>79</v>
      </c>
      <c r="O350">
        <v>2013</v>
      </c>
      <c r="P350">
        <v>11760</v>
      </c>
      <c r="Q350">
        <v>10936.8</v>
      </c>
      <c r="R350">
        <v>5056.7999999999993</v>
      </c>
      <c r="S350" s="22">
        <v>0.46236559139784944</v>
      </c>
      <c r="T350" t="str" cm="1">
        <f t="array" ref="T350">_xlfn.SWITCH(TRUE,data[[#This Row],[Profit Margin]]&lt;0,"Negative",data[[#This Row],[Profit Margin]]&lt;0.1,"Low",data[[#This Row],[Profit Margin]]&lt;0.2,"Medium","High")</f>
        <v>High</v>
      </c>
    </row>
    <row r="351" spans="1:20" x14ac:dyDescent="0.35">
      <c r="A351">
        <v>350</v>
      </c>
      <c r="B351" s="1" t="s">
        <v>31</v>
      </c>
      <c r="C351" s="1" t="s">
        <v>19</v>
      </c>
      <c r="D351" s="1" t="s">
        <v>43</v>
      </c>
      <c r="E351" s="1" t="s">
        <v>48</v>
      </c>
      <c r="F351">
        <v>3244.5</v>
      </c>
      <c r="G351">
        <v>250</v>
      </c>
      <c r="H351">
        <v>12</v>
      </c>
      <c r="I351">
        <v>2725.38</v>
      </c>
      <c r="J351">
        <v>9733.5</v>
      </c>
      <c r="K351" s="2">
        <v>41640</v>
      </c>
      <c r="L351">
        <v>1</v>
      </c>
      <c r="M351" s="1" t="s">
        <v>22</v>
      </c>
      <c r="N351" s="1" t="s">
        <v>77</v>
      </c>
      <c r="O351">
        <v>2014</v>
      </c>
      <c r="P351">
        <v>38934</v>
      </c>
      <c r="Q351">
        <v>36208.620000000003</v>
      </c>
      <c r="R351">
        <v>26475.120000000003</v>
      </c>
      <c r="S351" s="22">
        <v>0.73118279569892475</v>
      </c>
      <c r="T351" t="str" cm="1">
        <f t="array" ref="T351">_xlfn.SWITCH(TRUE,data[[#This Row],[Profit Margin]]&lt;0,"Negative",data[[#This Row],[Profit Margin]]&lt;0.1,"Low",data[[#This Row],[Profit Margin]]&lt;0.2,"Medium","High")</f>
        <v>High</v>
      </c>
    </row>
    <row r="352" spans="1:20" x14ac:dyDescent="0.35">
      <c r="A352">
        <v>351</v>
      </c>
      <c r="B352" s="1" t="s">
        <v>34</v>
      </c>
      <c r="C352" s="1" t="s">
        <v>25</v>
      </c>
      <c r="D352" s="1" t="s">
        <v>43</v>
      </c>
      <c r="E352" s="1" t="s">
        <v>48</v>
      </c>
      <c r="F352">
        <v>959</v>
      </c>
      <c r="G352">
        <v>250</v>
      </c>
      <c r="H352">
        <v>300</v>
      </c>
      <c r="I352">
        <v>20139</v>
      </c>
      <c r="J352">
        <v>239750</v>
      </c>
      <c r="K352" s="2">
        <v>41671</v>
      </c>
      <c r="L352">
        <v>2</v>
      </c>
      <c r="M352" s="1" t="s">
        <v>40</v>
      </c>
      <c r="N352" s="1" t="s">
        <v>85</v>
      </c>
      <c r="O352">
        <v>2014</v>
      </c>
      <c r="P352">
        <v>287700</v>
      </c>
      <c r="Q352">
        <v>267561</v>
      </c>
      <c r="R352">
        <v>27811</v>
      </c>
      <c r="S352" s="22">
        <v>0.1039426523297491</v>
      </c>
      <c r="T352" t="str" cm="1">
        <f t="array" ref="T352">_xlfn.SWITCH(TRUE,data[[#This Row],[Profit Margin]]&lt;0,"Negative",data[[#This Row],[Profit Margin]]&lt;0.1,"Low",data[[#This Row],[Profit Margin]]&lt;0.2,"Medium","High")</f>
        <v>Medium</v>
      </c>
    </row>
    <row r="353" spans="1:20" x14ac:dyDescent="0.35">
      <c r="A353">
        <v>352</v>
      </c>
      <c r="B353" s="1" t="s">
        <v>34</v>
      </c>
      <c r="C353" s="1" t="s">
        <v>27</v>
      </c>
      <c r="D353" s="1" t="s">
        <v>43</v>
      </c>
      <c r="E353" s="1" t="s">
        <v>48</v>
      </c>
      <c r="F353">
        <v>2747</v>
      </c>
      <c r="G353">
        <v>250</v>
      </c>
      <c r="H353">
        <v>300</v>
      </c>
      <c r="I353">
        <v>57687</v>
      </c>
      <c r="J353">
        <v>686750</v>
      </c>
      <c r="K353" s="2">
        <v>41671</v>
      </c>
      <c r="L353">
        <v>2</v>
      </c>
      <c r="M353" s="1" t="s">
        <v>40</v>
      </c>
      <c r="N353" s="1" t="s">
        <v>85</v>
      </c>
      <c r="O353">
        <v>2014</v>
      </c>
      <c r="P353">
        <v>824100</v>
      </c>
      <c r="Q353">
        <v>766413</v>
      </c>
      <c r="R353">
        <v>79663</v>
      </c>
      <c r="S353" s="22">
        <v>0.1039426523297491</v>
      </c>
      <c r="T353" t="str" cm="1">
        <f t="array" ref="T353">_xlfn.SWITCH(TRUE,data[[#This Row],[Profit Margin]]&lt;0,"Negative",data[[#This Row],[Profit Margin]]&lt;0.1,"Low",data[[#This Row],[Profit Margin]]&lt;0.2,"Medium","High")</f>
        <v>Medium</v>
      </c>
    </row>
    <row r="354" spans="1:20" x14ac:dyDescent="0.35">
      <c r="A354">
        <v>353</v>
      </c>
      <c r="B354" s="1" t="s">
        <v>32</v>
      </c>
      <c r="C354" s="1" t="s">
        <v>19</v>
      </c>
      <c r="D354" s="1" t="s">
        <v>45</v>
      </c>
      <c r="E354" s="1" t="s">
        <v>48</v>
      </c>
      <c r="F354">
        <v>1645</v>
      </c>
      <c r="G354">
        <v>260</v>
      </c>
      <c r="H354">
        <v>125</v>
      </c>
      <c r="I354">
        <v>14393.75</v>
      </c>
      <c r="J354">
        <v>197400</v>
      </c>
      <c r="K354" s="2">
        <v>41760</v>
      </c>
      <c r="L354">
        <v>5</v>
      </c>
      <c r="M354" s="1" t="s">
        <v>47</v>
      </c>
      <c r="N354" s="1" t="s">
        <v>47</v>
      </c>
      <c r="O354">
        <v>2014</v>
      </c>
      <c r="P354">
        <v>205625</v>
      </c>
      <c r="Q354">
        <v>191231.25</v>
      </c>
      <c r="R354">
        <v>-6168.75</v>
      </c>
      <c r="S354" s="22">
        <v>-3.2258064516129031E-2</v>
      </c>
      <c r="T354" t="str" cm="1">
        <f t="array" ref="T354">_xlfn.SWITCH(TRUE,data[[#This Row],[Profit Margin]]&lt;0,"Negative",data[[#This Row],[Profit Margin]]&lt;0.1,"Low",data[[#This Row],[Profit Margin]]&lt;0.2,"Medium","High")</f>
        <v>Negative</v>
      </c>
    </row>
    <row r="355" spans="1:20" x14ac:dyDescent="0.35">
      <c r="A355">
        <v>354</v>
      </c>
      <c r="B355" s="1" t="s">
        <v>18</v>
      </c>
      <c r="C355" s="1" t="s">
        <v>25</v>
      </c>
      <c r="D355" s="1" t="s">
        <v>45</v>
      </c>
      <c r="E355" s="1" t="s">
        <v>48</v>
      </c>
      <c r="F355">
        <v>2876</v>
      </c>
      <c r="G355">
        <v>260</v>
      </c>
      <c r="H355">
        <v>350</v>
      </c>
      <c r="I355">
        <v>70462</v>
      </c>
      <c r="J355">
        <v>747760</v>
      </c>
      <c r="K355" s="2">
        <v>41883</v>
      </c>
      <c r="L355">
        <v>9</v>
      </c>
      <c r="M355" s="1" t="s">
        <v>36</v>
      </c>
      <c r="N355" s="1" t="s">
        <v>83</v>
      </c>
      <c r="O355">
        <v>2014</v>
      </c>
      <c r="P355">
        <v>1006600</v>
      </c>
      <c r="Q355">
        <v>936138</v>
      </c>
      <c r="R355">
        <v>188378</v>
      </c>
      <c r="S355" s="22">
        <v>0.20122887864823349</v>
      </c>
      <c r="T355" t="str" cm="1">
        <f t="array" ref="T355">_xlfn.SWITCH(TRUE,data[[#This Row],[Profit Margin]]&lt;0,"Negative",data[[#This Row],[Profit Margin]]&lt;0.1,"Low",data[[#This Row],[Profit Margin]]&lt;0.2,"Medium","High")</f>
        <v>High</v>
      </c>
    </row>
    <row r="356" spans="1:20" x14ac:dyDescent="0.35">
      <c r="A356">
        <v>355</v>
      </c>
      <c r="B356" s="1" t="s">
        <v>32</v>
      </c>
      <c r="C356" s="1" t="s">
        <v>23</v>
      </c>
      <c r="D356" s="1" t="s">
        <v>45</v>
      </c>
      <c r="E356" s="1" t="s">
        <v>48</v>
      </c>
      <c r="F356">
        <v>994</v>
      </c>
      <c r="G356">
        <v>260</v>
      </c>
      <c r="H356">
        <v>125</v>
      </c>
      <c r="I356">
        <v>8697.5</v>
      </c>
      <c r="J356">
        <v>119280</v>
      </c>
      <c r="K356" s="2">
        <v>41518</v>
      </c>
      <c r="L356">
        <v>9</v>
      </c>
      <c r="M356" s="1" t="s">
        <v>36</v>
      </c>
      <c r="N356" s="1" t="s">
        <v>83</v>
      </c>
      <c r="O356">
        <v>2013</v>
      </c>
      <c r="P356">
        <v>124250</v>
      </c>
      <c r="Q356">
        <v>115552.5</v>
      </c>
      <c r="R356">
        <v>-3727.5</v>
      </c>
      <c r="S356" s="22">
        <v>-3.2258064516129031E-2</v>
      </c>
      <c r="T356" t="str" cm="1">
        <f t="array" ref="T356">_xlfn.SWITCH(TRUE,data[[#This Row],[Profit Margin]]&lt;0,"Negative",data[[#This Row],[Profit Margin]]&lt;0.1,"Low",data[[#This Row],[Profit Margin]]&lt;0.2,"Medium","High")</f>
        <v>Negative</v>
      </c>
    </row>
    <row r="357" spans="1:20" x14ac:dyDescent="0.35">
      <c r="A357">
        <v>356</v>
      </c>
      <c r="B357" s="1" t="s">
        <v>18</v>
      </c>
      <c r="C357" s="1" t="s">
        <v>19</v>
      </c>
      <c r="D357" s="1" t="s">
        <v>45</v>
      </c>
      <c r="E357" s="1" t="s">
        <v>48</v>
      </c>
      <c r="F357">
        <v>1118</v>
      </c>
      <c r="G357">
        <v>260</v>
      </c>
      <c r="H357">
        <v>20</v>
      </c>
      <c r="I357">
        <v>1565.2</v>
      </c>
      <c r="J357">
        <v>11180</v>
      </c>
      <c r="K357" s="2">
        <v>41944</v>
      </c>
      <c r="L357">
        <v>11</v>
      </c>
      <c r="M357" s="1" t="s">
        <v>41</v>
      </c>
      <c r="N357" s="1" t="s">
        <v>86</v>
      </c>
      <c r="O357">
        <v>2014</v>
      </c>
      <c r="P357">
        <v>22360</v>
      </c>
      <c r="Q357">
        <v>20794.8</v>
      </c>
      <c r="R357">
        <v>9614.7999999999993</v>
      </c>
      <c r="S357" s="22">
        <v>0.46236559139784944</v>
      </c>
      <c r="T357" t="str" cm="1">
        <f t="array" ref="T357">_xlfn.SWITCH(TRUE,data[[#This Row],[Profit Margin]]&lt;0,"Negative",data[[#This Row],[Profit Margin]]&lt;0.1,"Low",data[[#This Row],[Profit Margin]]&lt;0.2,"Medium","High")</f>
        <v>High</v>
      </c>
    </row>
    <row r="358" spans="1:20" x14ac:dyDescent="0.35">
      <c r="A358">
        <v>357</v>
      </c>
      <c r="B358" s="1" t="s">
        <v>34</v>
      </c>
      <c r="C358" s="1" t="s">
        <v>38</v>
      </c>
      <c r="D358" s="1" t="s">
        <v>45</v>
      </c>
      <c r="E358" s="1" t="s">
        <v>48</v>
      </c>
      <c r="F358">
        <v>1372</v>
      </c>
      <c r="G358">
        <v>260</v>
      </c>
      <c r="H358">
        <v>300</v>
      </c>
      <c r="I358">
        <v>28812</v>
      </c>
      <c r="J358">
        <v>343000</v>
      </c>
      <c r="K358" s="2">
        <v>41974</v>
      </c>
      <c r="L358">
        <v>12</v>
      </c>
      <c r="M358" s="1" t="s">
        <v>28</v>
      </c>
      <c r="N358" s="1" t="s">
        <v>79</v>
      </c>
      <c r="O358">
        <v>2014</v>
      </c>
      <c r="P358">
        <v>411600</v>
      </c>
      <c r="Q358">
        <v>382788</v>
      </c>
      <c r="R358">
        <v>39788</v>
      </c>
      <c r="S358" s="22">
        <v>0.1039426523297491</v>
      </c>
      <c r="T358" t="str" cm="1">
        <f t="array" ref="T358">_xlfn.SWITCH(TRUE,data[[#This Row],[Profit Margin]]&lt;0,"Negative",data[[#This Row],[Profit Margin]]&lt;0.1,"Low",data[[#This Row],[Profit Margin]]&lt;0.2,"Medium","High")</f>
        <v>Medium</v>
      </c>
    </row>
    <row r="359" spans="1:20" x14ac:dyDescent="0.35">
      <c r="A359">
        <v>358</v>
      </c>
      <c r="B359" s="1" t="s">
        <v>18</v>
      </c>
      <c r="C359" s="1" t="s">
        <v>19</v>
      </c>
      <c r="D359" s="1" t="s">
        <v>29</v>
      </c>
      <c r="E359" s="1" t="s">
        <v>48</v>
      </c>
      <c r="F359">
        <v>488</v>
      </c>
      <c r="G359">
        <v>5</v>
      </c>
      <c r="H359">
        <v>7</v>
      </c>
      <c r="I359">
        <v>273.27999999999997</v>
      </c>
      <c r="J359">
        <v>2440</v>
      </c>
      <c r="K359" s="2">
        <v>41671</v>
      </c>
      <c r="L359">
        <v>2</v>
      </c>
      <c r="M359" s="1" t="s">
        <v>40</v>
      </c>
      <c r="N359" s="1" t="s">
        <v>85</v>
      </c>
      <c r="O359">
        <v>2014</v>
      </c>
      <c r="P359">
        <v>3416</v>
      </c>
      <c r="Q359">
        <v>3142.7200000000003</v>
      </c>
      <c r="R359">
        <v>702.72000000000025</v>
      </c>
      <c r="S359" s="22">
        <v>0.22360248447204975</v>
      </c>
      <c r="T359" t="str" cm="1">
        <f t="array" ref="T359">_xlfn.SWITCH(TRUE,data[[#This Row],[Profit Margin]]&lt;0,"Negative",data[[#This Row],[Profit Margin]]&lt;0.1,"Low",data[[#This Row],[Profit Margin]]&lt;0.2,"Medium","High")</f>
        <v>High</v>
      </c>
    </row>
    <row r="360" spans="1:20" x14ac:dyDescent="0.35">
      <c r="A360">
        <v>359</v>
      </c>
      <c r="B360" s="1" t="s">
        <v>18</v>
      </c>
      <c r="C360" s="1" t="s">
        <v>38</v>
      </c>
      <c r="D360" s="1" t="s">
        <v>29</v>
      </c>
      <c r="E360" s="1" t="s">
        <v>48</v>
      </c>
      <c r="F360">
        <v>1282</v>
      </c>
      <c r="G360">
        <v>5</v>
      </c>
      <c r="H360">
        <v>20</v>
      </c>
      <c r="I360">
        <v>2051.1999999999998</v>
      </c>
      <c r="J360">
        <v>12820</v>
      </c>
      <c r="K360" s="2">
        <v>41791</v>
      </c>
      <c r="L360">
        <v>6</v>
      </c>
      <c r="M360" s="1" t="s">
        <v>26</v>
      </c>
      <c r="N360" s="1" t="s">
        <v>78</v>
      </c>
      <c r="O360">
        <v>2014</v>
      </c>
      <c r="P360">
        <v>25640</v>
      </c>
      <c r="Q360">
        <v>23588.799999999999</v>
      </c>
      <c r="R360">
        <v>10768.8</v>
      </c>
      <c r="S360" s="22">
        <v>0.45652173913043476</v>
      </c>
      <c r="T360" t="str" cm="1">
        <f t="array" ref="T360">_xlfn.SWITCH(TRUE,data[[#This Row],[Profit Margin]]&lt;0,"Negative",data[[#This Row],[Profit Margin]]&lt;0.1,"Low",data[[#This Row],[Profit Margin]]&lt;0.2,"Medium","High")</f>
        <v>High</v>
      </c>
    </row>
    <row r="361" spans="1:20" x14ac:dyDescent="0.35">
      <c r="A361">
        <v>360</v>
      </c>
      <c r="B361" s="1" t="s">
        <v>18</v>
      </c>
      <c r="C361" s="1" t="s">
        <v>19</v>
      </c>
      <c r="D361" s="1" t="s">
        <v>39</v>
      </c>
      <c r="E361" s="1" t="s">
        <v>48</v>
      </c>
      <c r="F361">
        <v>257</v>
      </c>
      <c r="G361">
        <v>10</v>
      </c>
      <c r="H361">
        <v>7</v>
      </c>
      <c r="I361">
        <v>143.91999999999999</v>
      </c>
      <c r="J361">
        <v>1285</v>
      </c>
      <c r="K361" s="2">
        <v>41760</v>
      </c>
      <c r="L361">
        <v>5</v>
      </c>
      <c r="M361" s="1" t="s">
        <v>47</v>
      </c>
      <c r="N361" s="1" t="s">
        <v>47</v>
      </c>
      <c r="O361">
        <v>2014</v>
      </c>
      <c r="P361">
        <v>1799</v>
      </c>
      <c r="Q361">
        <v>1655.08</v>
      </c>
      <c r="R361">
        <v>370.07999999999993</v>
      </c>
      <c r="S361" s="22">
        <v>0.22360248447204967</v>
      </c>
      <c r="T361" t="str" cm="1">
        <f t="array" ref="T361">_xlfn.SWITCH(TRUE,data[[#This Row],[Profit Margin]]&lt;0,"Negative",data[[#This Row],[Profit Margin]]&lt;0.1,"Low",data[[#This Row],[Profit Margin]]&lt;0.2,"Medium","High")</f>
        <v>High</v>
      </c>
    </row>
    <row r="362" spans="1:20" x14ac:dyDescent="0.35">
      <c r="A362">
        <v>361</v>
      </c>
      <c r="B362" s="1" t="s">
        <v>18</v>
      </c>
      <c r="C362" s="1" t="s">
        <v>38</v>
      </c>
      <c r="D362" s="1" t="s">
        <v>45</v>
      </c>
      <c r="E362" s="1" t="s">
        <v>48</v>
      </c>
      <c r="F362">
        <v>1282</v>
      </c>
      <c r="G362">
        <v>260</v>
      </c>
      <c r="H362">
        <v>20</v>
      </c>
      <c r="I362">
        <v>2051.1999999999998</v>
      </c>
      <c r="J362">
        <v>12820</v>
      </c>
      <c r="K362" s="2">
        <v>41791</v>
      </c>
      <c r="L362">
        <v>6</v>
      </c>
      <c r="M362" s="1" t="s">
        <v>26</v>
      </c>
      <c r="N362" s="1" t="s">
        <v>78</v>
      </c>
      <c r="O362">
        <v>2014</v>
      </c>
      <c r="P362">
        <v>25640</v>
      </c>
      <c r="Q362">
        <v>23588.799999999999</v>
      </c>
      <c r="R362">
        <v>10768.8</v>
      </c>
      <c r="S362" s="22">
        <v>0.45652173913043476</v>
      </c>
      <c r="T362" t="str" cm="1">
        <f t="array" ref="T362">_xlfn.SWITCH(TRUE,data[[#This Row],[Profit Margin]]&lt;0,"Negative",data[[#This Row],[Profit Margin]]&lt;0.1,"Low",data[[#This Row],[Profit Margin]]&lt;0.2,"Medium","High")</f>
        <v>High</v>
      </c>
    </row>
    <row r="363" spans="1:20" x14ac:dyDescent="0.35">
      <c r="A363">
        <v>362</v>
      </c>
      <c r="B363" s="1" t="s">
        <v>32</v>
      </c>
      <c r="C363" s="1" t="s">
        <v>27</v>
      </c>
      <c r="D363" s="1" t="s">
        <v>20</v>
      </c>
      <c r="E363" s="1" t="s">
        <v>48</v>
      </c>
      <c r="F363">
        <v>1540</v>
      </c>
      <c r="G363">
        <v>3</v>
      </c>
      <c r="H363">
        <v>125</v>
      </c>
      <c r="I363">
        <v>15400</v>
      </c>
      <c r="J363">
        <v>184800</v>
      </c>
      <c r="K363" s="2">
        <v>41852</v>
      </c>
      <c r="L363">
        <v>8</v>
      </c>
      <c r="M363" s="1" t="s">
        <v>35</v>
      </c>
      <c r="N363" s="1" t="s">
        <v>82</v>
      </c>
      <c r="O363">
        <v>2014</v>
      </c>
      <c r="P363">
        <v>192500</v>
      </c>
      <c r="Q363">
        <v>177100</v>
      </c>
      <c r="R363">
        <v>-7700</v>
      </c>
      <c r="S363" s="22">
        <v>-4.3478260869565216E-2</v>
      </c>
      <c r="T363" t="str" cm="1">
        <f t="array" ref="T363">_xlfn.SWITCH(TRUE,data[[#This Row],[Profit Margin]]&lt;0,"Negative",data[[#This Row],[Profit Margin]]&lt;0.1,"Low",data[[#This Row],[Profit Margin]]&lt;0.2,"Medium","High")</f>
        <v>Negative</v>
      </c>
    </row>
    <row r="364" spans="1:20" x14ac:dyDescent="0.35">
      <c r="A364">
        <v>363</v>
      </c>
      <c r="B364" s="1" t="s">
        <v>24</v>
      </c>
      <c r="C364" s="1" t="s">
        <v>25</v>
      </c>
      <c r="D364" s="1" t="s">
        <v>20</v>
      </c>
      <c r="E364" s="1" t="s">
        <v>48</v>
      </c>
      <c r="F364">
        <v>490</v>
      </c>
      <c r="G364">
        <v>3</v>
      </c>
      <c r="H364">
        <v>15</v>
      </c>
      <c r="I364">
        <v>588</v>
      </c>
      <c r="J364">
        <v>4900</v>
      </c>
      <c r="K364" s="2">
        <v>41944</v>
      </c>
      <c r="L364">
        <v>11</v>
      </c>
      <c r="M364" s="1" t="s">
        <v>41</v>
      </c>
      <c r="N364" s="1" t="s">
        <v>86</v>
      </c>
      <c r="O364">
        <v>2014</v>
      </c>
      <c r="P364">
        <v>7350</v>
      </c>
      <c r="Q364">
        <v>6762</v>
      </c>
      <c r="R364">
        <v>1862</v>
      </c>
      <c r="S364" s="22">
        <v>0.27536231884057971</v>
      </c>
      <c r="T364" t="str" cm="1">
        <f t="array" ref="T364">_xlfn.SWITCH(TRUE,data[[#This Row],[Profit Margin]]&lt;0,"Negative",data[[#This Row],[Profit Margin]]&lt;0.1,"Low",data[[#This Row],[Profit Margin]]&lt;0.2,"Medium","High")</f>
        <v>High</v>
      </c>
    </row>
    <row r="365" spans="1:20" x14ac:dyDescent="0.35">
      <c r="A365">
        <v>364</v>
      </c>
      <c r="B365" s="1" t="s">
        <v>18</v>
      </c>
      <c r="C365" s="1" t="s">
        <v>27</v>
      </c>
      <c r="D365" s="1" t="s">
        <v>20</v>
      </c>
      <c r="E365" s="1" t="s">
        <v>48</v>
      </c>
      <c r="F365">
        <v>1362</v>
      </c>
      <c r="G365">
        <v>3</v>
      </c>
      <c r="H365">
        <v>350</v>
      </c>
      <c r="I365">
        <v>38136</v>
      </c>
      <c r="J365">
        <v>354120</v>
      </c>
      <c r="K365" s="2">
        <v>41974</v>
      </c>
      <c r="L365">
        <v>12</v>
      </c>
      <c r="M365" s="1" t="s">
        <v>28</v>
      </c>
      <c r="N365" s="1" t="s">
        <v>79</v>
      </c>
      <c r="O365">
        <v>2014</v>
      </c>
      <c r="P365">
        <v>476700</v>
      </c>
      <c r="Q365">
        <v>438564</v>
      </c>
      <c r="R365">
        <v>84444</v>
      </c>
      <c r="S365" s="22">
        <v>0.19254658385093168</v>
      </c>
      <c r="T365" t="str" cm="1">
        <f t="array" ref="T365">_xlfn.SWITCH(TRUE,data[[#This Row],[Profit Margin]]&lt;0,"Negative",data[[#This Row],[Profit Margin]]&lt;0.1,"Low",data[[#This Row],[Profit Margin]]&lt;0.2,"Medium","High")</f>
        <v>Medium</v>
      </c>
    </row>
    <row r="366" spans="1:20" x14ac:dyDescent="0.35">
      <c r="A366">
        <v>365</v>
      </c>
      <c r="B366" s="1" t="s">
        <v>24</v>
      </c>
      <c r="C366" s="1" t="s">
        <v>25</v>
      </c>
      <c r="D366" s="1" t="s">
        <v>29</v>
      </c>
      <c r="E366" s="1" t="s">
        <v>48</v>
      </c>
      <c r="F366">
        <v>2501</v>
      </c>
      <c r="G366">
        <v>5</v>
      </c>
      <c r="H366">
        <v>15</v>
      </c>
      <c r="I366">
        <v>3001.2</v>
      </c>
      <c r="J366">
        <v>25010</v>
      </c>
      <c r="K366" s="2">
        <v>41699</v>
      </c>
      <c r="L366">
        <v>3</v>
      </c>
      <c r="M366" s="1" t="s">
        <v>30</v>
      </c>
      <c r="N366" s="1" t="s">
        <v>80</v>
      </c>
      <c r="O366">
        <v>2014</v>
      </c>
      <c r="P366">
        <v>37515</v>
      </c>
      <c r="Q366">
        <v>34513.800000000003</v>
      </c>
      <c r="R366">
        <v>9503.8000000000029</v>
      </c>
      <c r="S366" s="22">
        <v>0.27536231884057977</v>
      </c>
      <c r="T366" t="str" cm="1">
        <f t="array" ref="T366">_xlfn.SWITCH(TRUE,data[[#This Row],[Profit Margin]]&lt;0,"Negative",data[[#This Row],[Profit Margin]]&lt;0.1,"Low",data[[#This Row],[Profit Margin]]&lt;0.2,"Medium","High")</f>
        <v>High</v>
      </c>
    </row>
    <row r="367" spans="1:20" x14ac:dyDescent="0.35">
      <c r="A367">
        <v>366</v>
      </c>
      <c r="B367" s="1" t="s">
        <v>18</v>
      </c>
      <c r="C367" s="1" t="s">
        <v>19</v>
      </c>
      <c r="D367" s="1" t="s">
        <v>29</v>
      </c>
      <c r="E367" s="1" t="s">
        <v>48</v>
      </c>
      <c r="F367">
        <v>708</v>
      </c>
      <c r="G367">
        <v>5</v>
      </c>
      <c r="H367">
        <v>20</v>
      </c>
      <c r="I367">
        <v>1132.8</v>
      </c>
      <c r="J367">
        <v>7080</v>
      </c>
      <c r="K367" s="2">
        <v>41791</v>
      </c>
      <c r="L367">
        <v>6</v>
      </c>
      <c r="M367" s="1" t="s">
        <v>26</v>
      </c>
      <c r="N367" s="1" t="s">
        <v>78</v>
      </c>
      <c r="O367">
        <v>2014</v>
      </c>
      <c r="P367">
        <v>14160</v>
      </c>
      <c r="Q367">
        <v>13027.2</v>
      </c>
      <c r="R367">
        <v>5947.2000000000007</v>
      </c>
      <c r="S367" s="22">
        <v>0.45652173913043481</v>
      </c>
      <c r="T367" t="str" cm="1">
        <f t="array" ref="T367">_xlfn.SWITCH(TRUE,data[[#This Row],[Profit Margin]]&lt;0,"Negative",data[[#This Row],[Profit Margin]]&lt;0.1,"Low",data[[#This Row],[Profit Margin]]&lt;0.2,"Medium","High")</f>
        <v>High</v>
      </c>
    </row>
    <row r="368" spans="1:20" x14ac:dyDescent="0.35">
      <c r="A368">
        <v>367</v>
      </c>
      <c r="B368" s="1" t="s">
        <v>18</v>
      </c>
      <c r="C368" s="1" t="s">
        <v>23</v>
      </c>
      <c r="D368" s="1" t="s">
        <v>29</v>
      </c>
      <c r="E368" s="1" t="s">
        <v>48</v>
      </c>
      <c r="F368">
        <v>645</v>
      </c>
      <c r="G368">
        <v>5</v>
      </c>
      <c r="H368">
        <v>20</v>
      </c>
      <c r="I368">
        <v>1032</v>
      </c>
      <c r="J368">
        <v>6450</v>
      </c>
      <c r="K368" s="2">
        <v>41821</v>
      </c>
      <c r="L368">
        <v>7</v>
      </c>
      <c r="M368" s="1" t="s">
        <v>33</v>
      </c>
      <c r="N368" s="1" t="s">
        <v>81</v>
      </c>
      <c r="O368">
        <v>2014</v>
      </c>
      <c r="P368">
        <v>12900</v>
      </c>
      <c r="Q368">
        <v>11868</v>
      </c>
      <c r="R368">
        <v>5418</v>
      </c>
      <c r="S368" s="22">
        <v>0.45652173913043476</v>
      </c>
      <c r="T368" t="str" cm="1">
        <f t="array" ref="T368">_xlfn.SWITCH(TRUE,data[[#This Row],[Profit Margin]]&lt;0,"Negative",data[[#This Row],[Profit Margin]]&lt;0.1,"Low",data[[#This Row],[Profit Margin]]&lt;0.2,"Medium","High")</f>
        <v>High</v>
      </c>
    </row>
    <row r="369" spans="1:20" x14ac:dyDescent="0.35">
      <c r="A369">
        <v>368</v>
      </c>
      <c r="B369" s="1" t="s">
        <v>34</v>
      </c>
      <c r="C369" s="1" t="s">
        <v>25</v>
      </c>
      <c r="D369" s="1" t="s">
        <v>29</v>
      </c>
      <c r="E369" s="1" t="s">
        <v>48</v>
      </c>
      <c r="F369">
        <v>1562</v>
      </c>
      <c r="G369">
        <v>5</v>
      </c>
      <c r="H369">
        <v>300</v>
      </c>
      <c r="I369">
        <v>37488</v>
      </c>
      <c r="J369">
        <v>390500</v>
      </c>
      <c r="K369" s="2">
        <v>41852</v>
      </c>
      <c r="L369">
        <v>8</v>
      </c>
      <c r="M369" s="1" t="s">
        <v>35</v>
      </c>
      <c r="N369" s="1" t="s">
        <v>82</v>
      </c>
      <c r="O369">
        <v>2014</v>
      </c>
      <c r="P369">
        <v>468600</v>
      </c>
      <c r="Q369">
        <v>431112</v>
      </c>
      <c r="R369">
        <v>40612</v>
      </c>
      <c r="S369" s="22">
        <v>9.420289855072464E-2</v>
      </c>
      <c r="T369" t="str" cm="1">
        <f t="array" ref="T369">_xlfn.SWITCH(TRUE,data[[#This Row],[Profit Margin]]&lt;0,"Negative",data[[#This Row],[Profit Margin]]&lt;0.1,"Low",data[[#This Row],[Profit Margin]]&lt;0.2,"Medium","High")</f>
        <v>Low</v>
      </c>
    </row>
    <row r="370" spans="1:20" x14ac:dyDescent="0.35">
      <c r="A370">
        <v>369</v>
      </c>
      <c r="B370" s="1" t="s">
        <v>34</v>
      </c>
      <c r="C370" s="1" t="s">
        <v>19</v>
      </c>
      <c r="D370" s="1" t="s">
        <v>29</v>
      </c>
      <c r="E370" s="1" t="s">
        <v>48</v>
      </c>
      <c r="F370">
        <v>1283</v>
      </c>
      <c r="G370">
        <v>5</v>
      </c>
      <c r="H370">
        <v>300</v>
      </c>
      <c r="I370">
        <v>30792</v>
      </c>
      <c r="J370">
        <v>320750</v>
      </c>
      <c r="K370" s="2">
        <v>41518</v>
      </c>
      <c r="L370">
        <v>9</v>
      </c>
      <c r="M370" s="1" t="s">
        <v>36</v>
      </c>
      <c r="N370" s="1" t="s">
        <v>83</v>
      </c>
      <c r="O370">
        <v>2013</v>
      </c>
      <c r="P370">
        <v>384900</v>
      </c>
      <c r="Q370">
        <v>354108</v>
      </c>
      <c r="R370">
        <v>33358</v>
      </c>
      <c r="S370" s="22">
        <v>9.420289855072464E-2</v>
      </c>
      <c r="T370" t="str" cm="1">
        <f t="array" ref="T370">_xlfn.SWITCH(TRUE,data[[#This Row],[Profit Margin]]&lt;0,"Negative",data[[#This Row],[Profit Margin]]&lt;0.1,"Low",data[[#This Row],[Profit Margin]]&lt;0.2,"Medium","High")</f>
        <v>Low</v>
      </c>
    </row>
    <row r="371" spans="1:20" x14ac:dyDescent="0.35">
      <c r="A371">
        <v>370</v>
      </c>
      <c r="B371" s="1" t="s">
        <v>24</v>
      </c>
      <c r="C371" s="1" t="s">
        <v>23</v>
      </c>
      <c r="D371" s="1" t="s">
        <v>29</v>
      </c>
      <c r="E371" s="1" t="s">
        <v>48</v>
      </c>
      <c r="F371">
        <v>711</v>
      </c>
      <c r="G371">
        <v>5</v>
      </c>
      <c r="H371">
        <v>15</v>
      </c>
      <c r="I371">
        <v>853.2</v>
      </c>
      <c r="J371">
        <v>7110</v>
      </c>
      <c r="K371" s="2">
        <v>41974</v>
      </c>
      <c r="L371">
        <v>12</v>
      </c>
      <c r="M371" s="1" t="s">
        <v>28</v>
      </c>
      <c r="N371" s="1" t="s">
        <v>79</v>
      </c>
      <c r="O371">
        <v>2014</v>
      </c>
      <c r="P371">
        <v>10665</v>
      </c>
      <c r="Q371">
        <v>9811.7999999999993</v>
      </c>
      <c r="R371">
        <v>2701.7999999999993</v>
      </c>
      <c r="S371" s="22">
        <v>0.27536231884057966</v>
      </c>
      <c r="T371" t="str" cm="1">
        <f t="array" ref="T371">_xlfn.SWITCH(TRUE,data[[#This Row],[Profit Margin]]&lt;0,"Negative",data[[#This Row],[Profit Margin]]&lt;0.1,"Low",data[[#This Row],[Profit Margin]]&lt;0.2,"Medium","High")</f>
        <v>High</v>
      </c>
    </row>
    <row r="372" spans="1:20" x14ac:dyDescent="0.35">
      <c r="A372">
        <v>371</v>
      </c>
      <c r="B372" s="1" t="s">
        <v>32</v>
      </c>
      <c r="C372" s="1" t="s">
        <v>27</v>
      </c>
      <c r="D372" s="1" t="s">
        <v>39</v>
      </c>
      <c r="E372" s="1" t="s">
        <v>48</v>
      </c>
      <c r="F372">
        <v>1114</v>
      </c>
      <c r="G372">
        <v>10</v>
      </c>
      <c r="H372">
        <v>125</v>
      </c>
      <c r="I372">
        <v>11140</v>
      </c>
      <c r="J372">
        <v>133680</v>
      </c>
      <c r="K372" s="2">
        <v>41699</v>
      </c>
      <c r="L372">
        <v>3</v>
      </c>
      <c r="M372" s="1" t="s">
        <v>30</v>
      </c>
      <c r="N372" s="1" t="s">
        <v>80</v>
      </c>
      <c r="O372">
        <v>2014</v>
      </c>
      <c r="P372">
        <v>139250</v>
      </c>
      <c r="Q372">
        <v>128110</v>
      </c>
      <c r="R372">
        <v>-5570</v>
      </c>
      <c r="S372" s="22">
        <v>-4.3478260869565216E-2</v>
      </c>
      <c r="T372" t="str" cm="1">
        <f t="array" ref="T372">_xlfn.SWITCH(TRUE,data[[#This Row],[Profit Margin]]&lt;0,"Negative",data[[#This Row],[Profit Margin]]&lt;0.1,"Low",data[[#This Row],[Profit Margin]]&lt;0.2,"Medium","High")</f>
        <v>Negative</v>
      </c>
    </row>
    <row r="373" spans="1:20" x14ac:dyDescent="0.35">
      <c r="A373">
        <v>372</v>
      </c>
      <c r="B373" s="1" t="s">
        <v>18</v>
      </c>
      <c r="C373" s="1" t="s">
        <v>23</v>
      </c>
      <c r="D373" s="1" t="s">
        <v>39</v>
      </c>
      <c r="E373" s="1" t="s">
        <v>48</v>
      </c>
      <c r="F373">
        <v>1259</v>
      </c>
      <c r="G373">
        <v>10</v>
      </c>
      <c r="H373">
        <v>7</v>
      </c>
      <c r="I373">
        <v>705.04</v>
      </c>
      <c r="J373">
        <v>6295</v>
      </c>
      <c r="K373" s="2">
        <v>41730</v>
      </c>
      <c r="L373">
        <v>4</v>
      </c>
      <c r="M373" s="1" t="s">
        <v>44</v>
      </c>
      <c r="N373" s="1" t="s">
        <v>87</v>
      </c>
      <c r="O373">
        <v>2014</v>
      </c>
      <c r="P373">
        <v>8813</v>
      </c>
      <c r="Q373">
        <v>8107.96</v>
      </c>
      <c r="R373">
        <v>1812.96</v>
      </c>
      <c r="S373" s="22">
        <v>0.2236024844720497</v>
      </c>
      <c r="T373" t="str" cm="1">
        <f t="array" ref="T373">_xlfn.SWITCH(TRUE,data[[#This Row],[Profit Margin]]&lt;0,"Negative",data[[#This Row],[Profit Margin]]&lt;0.1,"Low",data[[#This Row],[Profit Margin]]&lt;0.2,"Medium","High")</f>
        <v>High</v>
      </c>
    </row>
    <row r="374" spans="1:20" x14ac:dyDescent="0.35">
      <c r="A374">
        <v>373</v>
      </c>
      <c r="B374" s="1" t="s">
        <v>18</v>
      </c>
      <c r="C374" s="1" t="s">
        <v>23</v>
      </c>
      <c r="D374" s="1" t="s">
        <v>39</v>
      </c>
      <c r="E374" s="1" t="s">
        <v>48</v>
      </c>
      <c r="F374">
        <v>1095</v>
      </c>
      <c r="G374">
        <v>10</v>
      </c>
      <c r="H374">
        <v>7</v>
      </c>
      <c r="I374">
        <v>613.20000000000005</v>
      </c>
      <c r="J374">
        <v>5475</v>
      </c>
      <c r="K374" s="2">
        <v>41760</v>
      </c>
      <c r="L374">
        <v>5</v>
      </c>
      <c r="M374" s="1" t="s">
        <v>47</v>
      </c>
      <c r="N374" s="1" t="s">
        <v>47</v>
      </c>
      <c r="O374">
        <v>2014</v>
      </c>
      <c r="P374">
        <v>7665</v>
      </c>
      <c r="Q374">
        <v>7051.8</v>
      </c>
      <c r="R374">
        <v>1576.8000000000002</v>
      </c>
      <c r="S374" s="22">
        <v>0.22360248447204972</v>
      </c>
      <c r="T374" t="str" cm="1">
        <f t="array" ref="T374">_xlfn.SWITCH(TRUE,data[[#This Row],[Profit Margin]]&lt;0,"Negative",data[[#This Row],[Profit Margin]]&lt;0.1,"Low",data[[#This Row],[Profit Margin]]&lt;0.2,"Medium","High")</f>
        <v>High</v>
      </c>
    </row>
    <row r="375" spans="1:20" x14ac:dyDescent="0.35">
      <c r="A375">
        <v>374</v>
      </c>
      <c r="B375" s="1" t="s">
        <v>18</v>
      </c>
      <c r="C375" s="1" t="s">
        <v>23</v>
      </c>
      <c r="D375" s="1" t="s">
        <v>39</v>
      </c>
      <c r="E375" s="1" t="s">
        <v>48</v>
      </c>
      <c r="F375">
        <v>1366</v>
      </c>
      <c r="G375">
        <v>10</v>
      </c>
      <c r="H375">
        <v>20</v>
      </c>
      <c r="I375">
        <v>2185.6</v>
      </c>
      <c r="J375">
        <v>13660</v>
      </c>
      <c r="K375" s="2">
        <v>41791</v>
      </c>
      <c r="L375">
        <v>6</v>
      </c>
      <c r="M375" s="1" t="s">
        <v>26</v>
      </c>
      <c r="N375" s="1" t="s">
        <v>78</v>
      </c>
      <c r="O375">
        <v>2014</v>
      </c>
      <c r="P375">
        <v>27320</v>
      </c>
      <c r="Q375">
        <v>25134.400000000001</v>
      </c>
      <c r="R375">
        <v>11474.400000000001</v>
      </c>
      <c r="S375" s="22">
        <v>0.45652173913043481</v>
      </c>
      <c r="T375" t="str" cm="1">
        <f t="array" ref="T375">_xlfn.SWITCH(TRUE,data[[#This Row],[Profit Margin]]&lt;0,"Negative",data[[#This Row],[Profit Margin]]&lt;0.1,"Low",data[[#This Row],[Profit Margin]]&lt;0.2,"Medium","High")</f>
        <v>High</v>
      </c>
    </row>
    <row r="376" spans="1:20" x14ac:dyDescent="0.35">
      <c r="A376">
        <v>375</v>
      </c>
      <c r="B376" s="1" t="s">
        <v>34</v>
      </c>
      <c r="C376" s="1" t="s">
        <v>27</v>
      </c>
      <c r="D376" s="1" t="s">
        <v>39</v>
      </c>
      <c r="E376" s="1" t="s">
        <v>48</v>
      </c>
      <c r="F376">
        <v>2460</v>
      </c>
      <c r="G376">
        <v>10</v>
      </c>
      <c r="H376">
        <v>300</v>
      </c>
      <c r="I376">
        <v>59040</v>
      </c>
      <c r="J376">
        <v>615000</v>
      </c>
      <c r="K376" s="2">
        <v>41791</v>
      </c>
      <c r="L376">
        <v>6</v>
      </c>
      <c r="M376" s="1" t="s">
        <v>26</v>
      </c>
      <c r="N376" s="1" t="s">
        <v>78</v>
      </c>
      <c r="O376">
        <v>2014</v>
      </c>
      <c r="P376">
        <v>738000</v>
      </c>
      <c r="Q376">
        <v>678960</v>
      </c>
      <c r="R376">
        <v>63960</v>
      </c>
      <c r="S376" s="22">
        <v>9.420289855072464E-2</v>
      </c>
      <c r="T376" t="str" cm="1">
        <f t="array" ref="T376">_xlfn.SWITCH(TRUE,data[[#This Row],[Profit Margin]]&lt;0,"Negative",data[[#This Row],[Profit Margin]]&lt;0.1,"Low",data[[#This Row],[Profit Margin]]&lt;0.2,"Medium","High")</f>
        <v>Low</v>
      </c>
    </row>
    <row r="377" spans="1:20" x14ac:dyDescent="0.35">
      <c r="A377">
        <v>376</v>
      </c>
      <c r="B377" s="1" t="s">
        <v>18</v>
      </c>
      <c r="C377" s="1" t="s">
        <v>38</v>
      </c>
      <c r="D377" s="1" t="s">
        <v>39</v>
      </c>
      <c r="E377" s="1" t="s">
        <v>48</v>
      </c>
      <c r="F377">
        <v>678</v>
      </c>
      <c r="G377">
        <v>10</v>
      </c>
      <c r="H377">
        <v>7</v>
      </c>
      <c r="I377">
        <v>379.68</v>
      </c>
      <c r="J377">
        <v>3390</v>
      </c>
      <c r="K377" s="2">
        <v>41852</v>
      </c>
      <c r="L377">
        <v>8</v>
      </c>
      <c r="M377" s="1" t="s">
        <v>35</v>
      </c>
      <c r="N377" s="1" t="s">
        <v>82</v>
      </c>
      <c r="O377">
        <v>2014</v>
      </c>
      <c r="P377">
        <v>4746</v>
      </c>
      <c r="Q377">
        <v>4366.32</v>
      </c>
      <c r="R377">
        <v>976.31999999999971</v>
      </c>
      <c r="S377" s="22">
        <v>0.22360248447204964</v>
      </c>
      <c r="T377" t="str" cm="1">
        <f t="array" ref="T377">_xlfn.SWITCH(TRUE,data[[#This Row],[Profit Margin]]&lt;0,"Negative",data[[#This Row],[Profit Margin]]&lt;0.1,"Low",data[[#This Row],[Profit Margin]]&lt;0.2,"Medium","High")</f>
        <v>High</v>
      </c>
    </row>
    <row r="378" spans="1:20" x14ac:dyDescent="0.35">
      <c r="A378">
        <v>377</v>
      </c>
      <c r="B378" s="1" t="s">
        <v>18</v>
      </c>
      <c r="C378" s="1" t="s">
        <v>23</v>
      </c>
      <c r="D378" s="1" t="s">
        <v>39</v>
      </c>
      <c r="E378" s="1" t="s">
        <v>48</v>
      </c>
      <c r="F378">
        <v>1598</v>
      </c>
      <c r="G378">
        <v>10</v>
      </c>
      <c r="H378">
        <v>7</v>
      </c>
      <c r="I378">
        <v>894.88</v>
      </c>
      <c r="J378">
        <v>7990</v>
      </c>
      <c r="K378" s="2">
        <v>41852</v>
      </c>
      <c r="L378">
        <v>8</v>
      </c>
      <c r="M378" s="1" t="s">
        <v>35</v>
      </c>
      <c r="N378" s="1" t="s">
        <v>82</v>
      </c>
      <c r="O378">
        <v>2014</v>
      </c>
      <c r="P378">
        <v>11186</v>
      </c>
      <c r="Q378">
        <v>10291.120000000001</v>
      </c>
      <c r="R378">
        <v>2301.1200000000008</v>
      </c>
      <c r="S378" s="22">
        <v>0.22360248447204975</v>
      </c>
      <c r="T378" t="str" cm="1">
        <f t="array" ref="T378">_xlfn.SWITCH(TRUE,data[[#This Row],[Profit Margin]]&lt;0,"Negative",data[[#This Row],[Profit Margin]]&lt;0.1,"Low",data[[#This Row],[Profit Margin]]&lt;0.2,"Medium","High")</f>
        <v>High</v>
      </c>
    </row>
    <row r="379" spans="1:20" x14ac:dyDescent="0.35">
      <c r="A379">
        <v>378</v>
      </c>
      <c r="B379" s="1" t="s">
        <v>18</v>
      </c>
      <c r="C379" s="1" t="s">
        <v>23</v>
      </c>
      <c r="D379" s="1" t="s">
        <v>39</v>
      </c>
      <c r="E379" s="1" t="s">
        <v>48</v>
      </c>
      <c r="F379">
        <v>2409</v>
      </c>
      <c r="G379">
        <v>10</v>
      </c>
      <c r="H379">
        <v>7</v>
      </c>
      <c r="I379">
        <v>1349.04</v>
      </c>
      <c r="J379">
        <v>12045</v>
      </c>
      <c r="K379" s="2">
        <v>41518</v>
      </c>
      <c r="L379">
        <v>9</v>
      </c>
      <c r="M379" s="1" t="s">
        <v>36</v>
      </c>
      <c r="N379" s="1" t="s">
        <v>83</v>
      </c>
      <c r="O379">
        <v>2013</v>
      </c>
      <c r="P379">
        <v>16863</v>
      </c>
      <c r="Q379">
        <v>15513.96</v>
      </c>
      <c r="R379">
        <v>3468.9599999999991</v>
      </c>
      <c r="S379" s="22">
        <v>0.22360248447204964</v>
      </c>
      <c r="T379" t="str" cm="1">
        <f t="array" ref="T379">_xlfn.SWITCH(TRUE,data[[#This Row],[Profit Margin]]&lt;0,"Negative",data[[#This Row],[Profit Margin]]&lt;0.1,"Low",data[[#This Row],[Profit Margin]]&lt;0.2,"Medium","High")</f>
        <v>High</v>
      </c>
    </row>
    <row r="380" spans="1:20" x14ac:dyDescent="0.35">
      <c r="A380">
        <v>379</v>
      </c>
      <c r="B380" s="1" t="s">
        <v>18</v>
      </c>
      <c r="C380" s="1" t="s">
        <v>23</v>
      </c>
      <c r="D380" s="1" t="s">
        <v>39</v>
      </c>
      <c r="E380" s="1" t="s">
        <v>48</v>
      </c>
      <c r="F380">
        <v>1934</v>
      </c>
      <c r="G380">
        <v>10</v>
      </c>
      <c r="H380">
        <v>20</v>
      </c>
      <c r="I380">
        <v>3094.4</v>
      </c>
      <c r="J380">
        <v>19340</v>
      </c>
      <c r="K380" s="2">
        <v>41883</v>
      </c>
      <c r="L380">
        <v>9</v>
      </c>
      <c r="M380" s="1" t="s">
        <v>36</v>
      </c>
      <c r="N380" s="1" t="s">
        <v>83</v>
      </c>
      <c r="O380">
        <v>2014</v>
      </c>
      <c r="P380">
        <v>38680</v>
      </c>
      <c r="Q380">
        <v>35585.599999999999</v>
      </c>
      <c r="R380">
        <v>16245.599999999999</v>
      </c>
      <c r="S380" s="22">
        <v>0.45652173913043476</v>
      </c>
      <c r="T380" t="str" cm="1">
        <f t="array" ref="T380">_xlfn.SWITCH(TRUE,data[[#This Row],[Profit Margin]]&lt;0,"Negative",data[[#This Row],[Profit Margin]]&lt;0.1,"Low",data[[#This Row],[Profit Margin]]&lt;0.2,"Medium","High")</f>
        <v>High</v>
      </c>
    </row>
    <row r="381" spans="1:20" x14ac:dyDescent="0.35">
      <c r="A381">
        <v>380</v>
      </c>
      <c r="B381" s="1" t="s">
        <v>18</v>
      </c>
      <c r="C381" s="1" t="s">
        <v>27</v>
      </c>
      <c r="D381" s="1" t="s">
        <v>39</v>
      </c>
      <c r="E381" s="1" t="s">
        <v>48</v>
      </c>
      <c r="F381">
        <v>2993</v>
      </c>
      <c r="G381">
        <v>10</v>
      </c>
      <c r="H381">
        <v>20</v>
      </c>
      <c r="I381">
        <v>4788.8</v>
      </c>
      <c r="J381">
        <v>29930</v>
      </c>
      <c r="K381" s="2">
        <v>41883</v>
      </c>
      <c r="L381">
        <v>9</v>
      </c>
      <c r="M381" s="1" t="s">
        <v>36</v>
      </c>
      <c r="N381" s="1" t="s">
        <v>83</v>
      </c>
      <c r="O381">
        <v>2014</v>
      </c>
      <c r="P381">
        <v>59860</v>
      </c>
      <c r="Q381">
        <v>55071.199999999997</v>
      </c>
      <c r="R381">
        <v>25141.199999999997</v>
      </c>
      <c r="S381" s="22">
        <v>0.45652173913043476</v>
      </c>
      <c r="T381" t="str" cm="1">
        <f t="array" ref="T381">_xlfn.SWITCH(TRUE,data[[#This Row],[Profit Margin]]&lt;0,"Negative",data[[#This Row],[Profit Margin]]&lt;0.1,"Low",data[[#This Row],[Profit Margin]]&lt;0.2,"Medium","High")</f>
        <v>High</v>
      </c>
    </row>
    <row r="382" spans="1:20" x14ac:dyDescent="0.35">
      <c r="A382">
        <v>381</v>
      </c>
      <c r="B382" s="1" t="s">
        <v>18</v>
      </c>
      <c r="C382" s="1" t="s">
        <v>23</v>
      </c>
      <c r="D382" s="1" t="s">
        <v>39</v>
      </c>
      <c r="E382" s="1" t="s">
        <v>48</v>
      </c>
      <c r="F382">
        <v>2146</v>
      </c>
      <c r="G382">
        <v>10</v>
      </c>
      <c r="H382">
        <v>350</v>
      </c>
      <c r="I382">
        <v>60088</v>
      </c>
      <c r="J382">
        <v>557960</v>
      </c>
      <c r="K382" s="2">
        <v>41579</v>
      </c>
      <c r="L382">
        <v>11</v>
      </c>
      <c r="M382" s="1" t="s">
        <v>41</v>
      </c>
      <c r="N382" s="1" t="s">
        <v>86</v>
      </c>
      <c r="O382">
        <v>2013</v>
      </c>
      <c r="P382">
        <v>751100</v>
      </c>
      <c r="Q382">
        <v>691012</v>
      </c>
      <c r="R382">
        <v>133052</v>
      </c>
      <c r="S382" s="22">
        <v>0.19254658385093168</v>
      </c>
      <c r="T382" t="str" cm="1">
        <f t="array" ref="T382">_xlfn.SWITCH(TRUE,data[[#This Row],[Profit Margin]]&lt;0,"Negative",data[[#This Row],[Profit Margin]]&lt;0.1,"Low",data[[#This Row],[Profit Margin]]&lt;0.2,"Medium","High")</f>
        <v>Medium</v>
      </c>
    </row>
    <row r="383" spans="1:20" x14ac:dyDescent="0.35">
      <c r="A383">
        <v>382</v>
      </c>
      <c r="B383" s="1" t="s">
        <v>18</v>
      </c>
      <c r="C383" s="1" t="s">
        <v>27</v>
      </c>
      <c r="D383" s="1" t="s">
        <v>39</v>
      </c>
      <c r="E383" s="1" t="s">
        <v>48</v>
      </c>
      <c r="F383">
        <v>1946</v>
      </c>
      <c r="G383">
        <v>10</v>
      </c>
      <c r="H383">
        <v>7</v>
      </c>
      <c r="I383">
        <v>1089.76</v>
      </c>
      <c r="J383">
        <v>9730</v>
      </c>
      <c r="K383" s="2">
        <v>41609</v>
      </c>
      <c r="L383">
        <v>12</v>
      </c>
      <c r="M383" s="1" t="s">
        <v>28</v>
      </c>
      <c r="N383" s="1" t="s">
        <v>79</v>
      </c>
      <c r="O383">
        <v>2013</v>
      </c>
      <c r="P383">
        <v>13622</v>
      </c>
      <c r="Q383">
        <v>12532.24</v>
      </c>
      <c r="R383">
        <v>2802.24</v>
      </c>
      <c r="S383" s="22">
        <v>0.22360248447204967</v>
      </c>
      <c r="T383" t="str" cm="1">
        <f t="array" ref="T383">_xlfn.SWITCH(TRUE,data[[#This Row],[Profit Margin]]&lt;0,"Negative",data[[#This Row],[Profit Margin]]&lt;0.1,"Low",data[[#This Row],[Profit Margin]]&lt;0.2,"Medium","High")</f>
        <v>High</v>
      </c>
    </row>
    <row r="384" spans="1:20" x14ac:dyDescent="0.35">
      <c r="A384">
        <v>383</v>
      </c>
      <c r="B384" s="1" t="s">
        <v>18</v>
      </c>
      <c r="C384" s="1" t="s">
        <v>27</v>
      </c>
      <c r="D384" s="1" t="s">
        <v>39</v>
      </c>
      <c r="E384" s="1" t="s">
        <v>48</v>
      </c>
      <c r="F384">
        <v>1362</v>
      </c>
      <c r="G384">
        <v>10</v>
      </c>
      <c r="H384">
        <v>350</v>
      </c>
      <c r="I384">
        <v>38136</v>
      </c>
      <c r="J384">
        <v>354120</v>
      </c>
      <c r="K384" s="2">
        <v>41974</v>
      </c>
      <c r="L384">
        <v>12</v>
      </c>
      <c r="M384" s="1" t="s">
        <v>28</v>
      </c>
      <c r="N384" s="1" t="s">
        <v>79</v>
      </c>
      <c r="O384">
        <v>2014</v>
      </c>
      <c r="P384">
        <v>476700</v>
      </c>
      <c r="Q384">
        <v>438564</v>
      </c>
      <c r="R384">
        <v>84444</v>
      </c>
      <c r="S384" s="22">
        <v>0.19254658385093168</v>
      </c>
      <c r="T384" t="str" cm="1">
        <f t="array" ref="T384">_xlfn.SWITCH(TRUE,data[[#This Row],[Profit Margin]]&lt;0,"Negative",data[[#This Row],[Profit Margin]]&lt;0.1,"Low",data[[#This Row],[Profit Margin]]&lt;0.2,"Medium","High")</f>
        <v>Medium</v>
      </c>
    </row>
    <row r="385" spans="1:20" x14ac:dyDescent="0.35">
      <c r="A385">
        <v>384</v>
      </c>
      <c r="B385" s="1" t="s">
        <v>31</v>
      </c>
      <c r="C385" s="1" t="s">
        <v>19</v>
      </c>
      <c r="D385" s="1" t="s">
        <v>42</v>
      </c>
      <c r="E385" s="1" t="s">
        <v>48</v>
      </c>
      <c r="F385">
        <v>598</v>
      </c>
      <c r="G385">
        <v>120</v>
      </c>
      <c r="H385">
        <v>12</v>
      </c>
      <c r="I385">
        <v>574.08000000000004</v>
      </c>
      <c r="J385">
        <v>1794</v>
      </c>
      <c r="K385" s="2">
        <v>41699</v>
      </c>
      <c r="L385">
        <v>3</v>
      </c>
      <c r="M385" s="1" t="s">
        <v>30</v>
      </c>
      <c r="N385" s="1" t="s">
        <v>80</v>
      </c>
      <c r="O385">
        <v>2014</v>
      </c>
      <c r="P385">
        <v>7176</v>
      </c>
      <c r="Q385">
        <v>6601.92</v>
      </c>
      <c r="R385">
        <v>4807.92</v>
      </c>
      <c r="S385" s="22">
        <v>0.72826086956521741</v>
      </c>
      <c r="T385" t="str" cm="1">
        <f t="array" ref="T385">_xlfn.SWITCH(TRUE,data[[#This Row],[Profit Margin]]&lt;0,"Negative",data[[#This Row],[Profit Margin]]&lt;0.1,"Low",data[[#This Row],[Profit Margin]]&lt;0.2,"Medium","High")</f>
        <v>High</v>
      </c>
    </row>
    <row r="386" spans="1:20" x14ac:dyDescent="0.35">
      <c r="A386">
        <v>385</v>
      </c>
      <c r="B386" s="1" t="s">
        <v>18</v>
      </c>
      <c r="C386" s="1" t="s">
        <v>38</v>
      </c>
      <c r="D386" s="1" t="s">
        <v>42</v>
      </c>
      <c r="E386" s="1" t="s">
        <v>48</v>
      </c>
      <c r="F386">
        <v>2907</v>
      </c>
      <c r="G386">
        <v>120</v>
      </c>
      <c r="H386">
        <v>7</v>
      </c>
      <c r="I386">
        <v>1627.92</v>
      </c>
      <c r="J386">
        <v>14535</v>
      </c>
      <c r="K386" s="2">
        <v>41791</v>
      </c>
      <c r="L386">
        <v>6</v>
      </c>
      <c r="M386" s="1" t="s">
        <v>26</v>
      </c>
      <c r="N386" s="1" t="s">
        <v>78</v>
      </c>
      <c r="O386">
        <v>2014</v>
      </c>
      <c r="P386">
        <v>20349</v>
      </c>
      <c r="Q386">
        <v>18721.080000000002</v>
      </c>
      <c r="R386">
        <v>4186.0800000000017</v>
      </c>
      <c r="S386" s="22">
        <v>0.22360248447204975</v>
      </c>
      <c r="T386" t="str" cm="1">
        <f t="array" ref="T386">_xlfn.SWITCH(TRUE,data[[#This Row],[Profit Margin]]&lt;0,"Negative",data[[#This Row],[Profit Margin]]&lt;0.1,"Low",data[[#This Row],[Profit Margin]]&lt;0.2,"Medium","High")</f>
        <v>High</v>
      </c>
    </row>
    <row r="387" spans="1:20" x14ac:dyDescent="0.35">
      <c r="A387">
        <v>386</v>
      </c>
      <c r="B387" s="1" t="s">
        <v>18</v>
      </c>
      <c r="C387" s="1" t="s">
        <v>23</v>
      </c>
      <c r="D387" s="1" t="s">
        <v>42</v>
      </c>
      <c r="E387" s="1" t="s">
        <v>48</v>
      </c>
      <c r="F387">
        <v>2338</v>
      </c>
      <c r="G387">
        <v>120</v>
      </c>
      <c r="H387">
        <v>7</v>
      </c>
      <c r="I387">
        <v>1309.28</v>
      </c>
      <c r="J387">
        <v>11690</v>
      </c>
      <c r="K387" s="2">
        <v>41791</v>
      </c>
      <c r="L387">
        <v>6</v>
      </c>
      <c r="M387" s="1" t="s">
        <v>26</v>
      </c>
      <c r="N387" s="1" t="s">
        <v>78</v>
      </c>
      <c r="O387">
        <v>2014</v>
      </c>
      <c r="P387">
        <v>16366</v>
      </c>
      <c r="Q387">
        <v>15056.72</v>
      </c>
      <c r="R387">
        <v>3366.7199999999993</v>
      </c>
      <c r="S387" s="22">
        <v>0.22360248447204967</v>
      </c>
      <c r="T387" t="str" cm="1">
        <f t="array" ref="T387">_xlfn.SWITCH(TRUE,data[[#This Row],[Profit Margin]]&lt;0,"Negative",data[[#This Row],[Profit Margin]]&lt;0.1,"Low",data[[#This Row],[Profit Margin]]&lt;0.2,"Medium","High")</f>
        <v>High</v>
      </c>
    </row>
    <row r="388" spans="1:20" x14ac:dyDescent="0.35">
      <c r="A388">
        <v>387</v>
      </c>
      <c r="B388" s="1" t="s">
        <v>34</v>
      </c>
      <c r="C388" s="1" t="s">
        <v>25</v>
      </c>
      <c r="D388" s="1" t="s">
        <v>42</v>
      </c>
      <c r="E388" s="1" t="s">
        <v>48</v>
      </c>
      <c r="F388">
        <v>386</v>
      </c>
      <c r="G388">
        <v>120</v>
      </c>
      <c r="H388">
        <v>300</v>
      </c>
      <c r="I388">
        <v>9264</v>
      </c>
      <c r="J388">
        <v>96500</v>
      </c>
      <c r="K388" s="2">
        <v>41579</v>
      </c>
      <c r="L388">
        <v>11</v>
      </c>
      <c r="M388" s="1" t="s">
        <v>41</v>
      </c>
      <c r="N388" s="1" t="s">
        <v>86</v>
      </c>
      <c r="O388">
        <v>2013</v>
      </c>
      <c r="P388">
        <v>115800</v>
      </c>
      <c r="Q388">
        <v>106536</v>
      </c>
      <c r="R388">
        <v>10036</v>
      </c>
      <c r="S388" s="22">
        <v>9.420289855072464E-2</v>
      </c>
      <c r="T388" t="str" cm="1">
        <f t="array" ref="T388">_xlfn.SWITCH(TRUE,data[[#This Row],[Profit Margin]]&lt;0,"Negative",data[[#This Row],[Profit Margin]]&lt;0.1,"Low",data[[#This Row],[Profit Margin]]&lt;0.2,"Medium","High")</f>
        <v>Low</v>
      </c>
    </row>
    <row r="389" spans="1:20" x14ac:dyDescent="0.35">
      <c r="A389">
        <v>388</v>
      </c>
      <c r="B389" s="1" t="s">
        <v>34</v>
      </c>
      <c r="C389" s="1" t="s">
        <v>27</v>
      </c>
      <c r="D389" s="1" t="s">
        <v>42</v>
      </c>
      <c r="E389" s="1" t="s">
        <v>48</v>
      </c>
      <c r="F389">
        <v>635</v>
      </c>
      <c r="G389">
        <v>120</v>
      </c>
      <c r="H389">
        <v>300</v>
      </c>
      <c r="I389">
        <v>15240</v>
      </c>
      <c r="J389">
        <v>158750</v>
      </c>
      <c r="K389" s="2">
        <v>41974</v>
      </c>
      <c r="L389">
        <v>12</v>
      </c>
      <c r="M389" s="1" t="s">
        <v>28</v>
      </c>
      <c r="N389" s="1" t="s">
        <v>79</v>
      </c>
      <c r="O389">
        <v>2014</v>
      </c>
      <c r="P389">
        <v>190500</v>
      </c>
      <c r="Q389">
        <v>175260</v>
      </c>
      <c r="R389">
        <v>16510</v>
      </c>
      <c r="S389" s="22">
        <v>9.420289855072464E-2</v>
      </c>
      <c r="T389" t="str" cm="1">
        <f t="array" ref="T389">_xlfn.SWITCH(TRUE,data[[#This Row],[Profit Margin]]&lt;0,"Negative",data[[#This Row],[Profit Margin]]&lt;0.1,"Low",data[[#This Row],[Profit Margin]]&lt;0.2,"Medium","High")</f>
        <v>Low</v>
      </c>
    </row>
    <row r="390" spans="1:20" x14ac:dyDescent="0.35">
      <c r="A390">
        <v>389</v>
      </c>
      <c r="B390" s="1" t="s">
        <v>18</v>
      </c>
      <c r="C390" s="1" t="s">
        <v>25</v>
      </c>
      <c r="D390" s="1" t="s">
        <v>43</v>
      </c>
      <c r="E390" s="1" t="s">
        <v>48</v>
      </c>
      <c r="F390">
        <v>574.5</v>
      </c>
      <c r="G390">
        <v>250</v>
      </c>
      <c r="H390">
        <v>350</v>
      </c>
      <c r="I390">
        <v>16086</v>
      </c>
      <c r="J390">
        <v>149370</v>
      </c>
      <c r="K390" s="2">
        <v>41730</v>
      </c>
      <c r="L390">
        <v>4</v>
      </c>
      <c r="M390" s="1" t="s">
        <v>44</v>
      </c>
      <c r="N390" s="1" t="s">
        <v>87</v>
      </c>
      <c r="O390">
        <v>2014</v>
      </c>
      <c r="P390">
        <v>201075</v>
      </c>
      <c r="Q390">
        <v>184989</v>
      </c>
      <c r="R390">
        <v>35619</v>
      </c>
      <c r="S390" s="22">
        <v>0.19254658385093168</v>
      </c>
      <c r="T390" t="str" cm="1">
        <f t="array" ref="T390">_xlfn.SWITCH(TRUE,data[[#This Row],[Profit Margin]]&lt;0,"Negative",data[[#This Row],[Profit Margin]]&lt;0.1,"Low",data[[#This Row],[Profit Margin]]&lt;0.2,"Medium","High")</f>
        <v>Medium</v>
      </c>
    </row>
    <row r="391" spans="1:20" x14ac:dyDescent="0.35">
      <c r="A391">
        <v>390</v>
      </c>
      <c r="B391" s="1" t="s">
        <v>18</v>
      </c>
      <c r="C391" s="1" t="s">
        <v>23</v>
      </c>
      <c r="D391" s="1" t="s">
        <v>43</v>
      </c>
      <c r="E391" s="1" t="s">
        <v>48</v>
      </c>
      <c r="F391">
        <v>2338</v>
      </c>
      <c r="G391">
        <v>250</v>
      </c>
      <c r="H391">
        <v>7</v>
      </c>
      <c r="I391">
        <v>1309.28</v>
      </c>
      <c r="J391">
        <v>11690</v>
      </c>
      <c r="K391" s="2">
        <v>41791</v>
      </c>
      <c r="L391">
        <v>6</v>
      </c>
      <c r="M391" s="1" t="s">
        <v>26</v>
      </c>
      <c r="N391" s="1" t="s">
        <v>78</v>
      </c>
      <c r="O391">
        <v>2014</v>
      </c>
      <c r="P391">
        <v>16366</v>
      </c>
      <c r="Q391">
        <v>15056.72</v>
      </c>
      <c r="R391">
        <v>3366.7199999999993</v>
      </c>
      <c r="S391" s="22">
        <v>0.22360248447204967</v>
      </c>
      <c r="T391" t="str" cm="1">
        <f t="array" ref="T391">_xlfn.SWITCH(TRUE,data[[#This Row],[Profit Margin]]&lt;0,"Negative",data[[#This Row],[Profit Margin]]&lt;0.1,"Low",data[[#This Row],[Profit Margin]]&lt;0.2,"Medium","High")</f>
        <v>High</v>
      </c>
    </row>
    <row r="392" spans="1:20" x14ac:dyDescent="0.35">
      <c r="A392">
        <v>391</v>
      </c>
      <c r="B392" s="1" t="s">
        <v>18</v>
      </c>
      <c r="C392" s="1" t="s">
        <v>25</v>
      </c>
      <c r="D392" s="1" t="s">
        <v>43</v>
      </c>
      <c r="E392" s="1" t="s">
        <v>48</v>
      </c>
      <c r="F392">
        <v>381</v>
      </c>
      <c r="G392">
        <v>250</v>
      </c>
      <c r="H392">
        <v>350</v>
      </c>
      <c r="I392">
        <v>10668</v>
      </c>
      <c r="J392">
        <v>99060</v>
      </c>
      <c r="K392" s="2">
        <v>41852</v>
      </c>
      <c r="L392">
        <v>8</v>
      </c>
      <c r="M392" s="1" t="s">
        <v>35</v>
      </c>
      <c r="N392" s="1" t="s">
        <v>82</v>
      </c>
      <c r="O392">
        <v>2014</v>
      </c>
      <c r="P392">
        <v>133350</v>
      </c>
      <c r="Q392">
        <v>122682</v>
      </c>
      <c r="R392">
        <v>23622</v>
      </c>
      <c r="S392" s="22">
        <v>0.19254658385093168</v>
      </c>
      <c r="T392" t="str" cm="1">
        <f t="array" ref="T392">_xlfn.SWITCH(TRUE,data[[#This Row],[Profit Margin]]&lt;0,"Negative",data[[#This Row],[Profit Margin]]&lt;0.1,"Low",data[[#This Row],[Profit Margin]]&lt;0.2,"Medium","High")</f>
        <v>Medium</v>
      </c>
    </row>
    <row r="393" spans="1:20" x14ac:dyDescent="0.35">
      <c r="A393">
        <v>392</v>
      </c>
      <c r="B393" s="1" t="s">
        <v>18</v>
      </c>
      <c r="C393" s="1" t="s">
        <v>23</v>
      </c>
      <c r="D393" s="1" t="s">
        <v>43</v>
      </c>
      <c r="E393" s="1" t="s">
        <v>48</v>
      </c>
      <c r="F393">
        <v>422</v>
      </c>
      <c r="G393">
        <v>250</v>
      </c>
      <c r="H393">
        <v>350</v>
      </c>
      <c r="I393">
        <v>11816</v>
      </c>
      <c r="J393">
        <v>109720</v>
      </c>
      <c r="K393" s="2">
        <v>41852</v>
      </c>
      <c r="L393">
        <v>8</v>
      </c>
      <c r="M393" s="1" t="s">
        <v>35</v>
      </c>
      <c r="N393" s="1" t="s">
        <v>82</v>
      </c>
      <c r="O393">
        <v>2014</v>
      </c>
      <c r="P393">
        <v>147700</v>
      </c>
      <c r="Q393">
        <v>135884</v>
      </c>
      <c r="R393">
        <v>26164</v>
      </c>
      <c r="S393" s="22">
        <v>0.19254658385093168</v>
      </c>
      <c r="T393" t="str" cm="1">
        <f t="array" ref="T393">_xlfn.SWITCH(TRUE,data[[#This Row],[Profit Margin]]&lt;0,"Negative",data[[#This Row],[Profit Margin]]&lt;0.1,"Low",data[[#This Row],[Profit Margin]]&lt;0.2,"Medium","High")</f>
        <v>Medium</v>
      </c>
    </row>
    <row r="394" spans="1:20" x14ac:dyDescent="0.35">
      <c r="A394">
        <v>393</v>
      </c>
      <c r="B394" s="1" t="s">
        <v>34</v>
      </c>
      <c r="C394" s="1" t="s">
        <v>19</v>
      </c>
      <c r="D394" s="1" t="s">
        <v>43</v>
      </c>
      <c r="E394" s="1" t="s">
        <v>48</v>
      </c>
      <c r="F394">
        <v>2134</v>
      </c>
      <c r="G394">
        <v>250</v>
      </c>
      <c r="H394">
        <v>300</v>
      </c>
      <c r="I394">
        <v>51216</v>
      </c>
      <c r="J394">
        <v>533500</v>
      </c>
      <c r="K394" s="2">
        <v>41883</v>
      </c>
      <c r="L394">
        <v>9</v>
      </c>
      <c r="M394" s="1" t="s">
        <v>36</v>
      </c>
      <c r="N394" s="1" t="s">
        <v>83</v>
      </c>
      <c r="O394">
        <v>2014</v>
      </c>
      <c r="P394">
        <v>640200</v>
      </c>
      <c r="Q394">
        <v>588984</v>
      </c>
      <c r="R394">
        <v>55484</v>
      </c>
      <c r="S394" s="22">
        <v>9.420289855072464E-2</v>
      </c>
      <c r="T394" t="str" cm="1">
        <f t="array" ref="T394">_xlfn.SWITCH(TRUE,data[[#This Row],[Profit Margin]]&lt;0,"Negative",data[[#This Row],[Profit Margin]]&lt;0.1,"Low",data[[#This Row],[Profit Margin]]&lt;0.2,"Medium","High")</f>
        <v>Low</v>
      </c>
    </row>
    <row r="395" spans="1:20" x14ac:dyDescent="0.35">
      <c r="A395">
        <v>394</v>
      </c>
      <c r="B395" s="1" t="s">
        <v>34</v>
      </c>
      <c r="C395" s="1" t="s">
        <v>38</v>
      </c>
      <c r="D395" s="1" t="s">
        <v>43</v>
      </c>
      <c r="E395" s="1" t="s">
        <v>48</v>
      </c>
      <c r="F395">
        <v>808</v>
      </c>
      <c r="G395">
        <v>250</v>
      </c>
      <c r="H395">
        <v>300</v>
      </c>
      <c r="I395">
        <v>19392</v>
      </c>
      <c r="J395">
        <v>202000</v>
      </c>
      <c r="K395" s="2">
        <v>41609</v>
      </c>
      <c r="L395">
        <v>12</v>
      </c>
      <c r="M395" s="1" t="s">
        <v>28</v>
      </c>
      <c r="N395" s="1" t="s">
        <v>79</v>
      </c>
      <c r="O395">
        <v>2013</v>
      </c>
      <c r="P395">
        <v>242400</v>
      </c>
      <c r="Q395">
        <v>223008</v>
      </c>
      <c r="R395">
        <v>21008</v>
      </c>
      <c r="S395" s="22">
        <v>9.420289855072464E-2</v>
      </c>
      <c r="T395" t="str" cm="1">
        <f t="array" ref="T395">_xlfn.SWITCH(TRUE,data[[#This Row],[Profit Margin]]&lt;0,"Negative",data[[#This Row],[Profit Margin]]&lt;0.1,"Low",data[[#This Row],[Profit Margin]]&lt;0.2,"Medium","High")</f>
        <v>Low</v>
      </c>
    </row>
    <row r="396" spans="1:20" x14ac:dyDescent="0.35">
      <c r="A396">
        <v>395</v>
      </c>
      <c r="B396" s="1" t="s">
        <v>18</v>
      </c>
      <c r="C396" s="1" t="s">
        <v>19</v>
      </c>
      <c r="D396" s="1" t="s">
        <v>45</v>
      </c>
      <c r="E396" s="1" t="s">
        <v>48</v>
      </c>
      <c r="F396">
        <v>708</v>
      </c>
      <c r="G396">
        <v>260</v>
      </c>
      <c r="H396">
        <v>20</v>
      </c>
      <c r="I396">
        <v>1132.8</v>
      </c>
      <c r="J396">
        <v>7080</v>
      </c>
      <c r="K396" s="2">
        <v>41791</v>
      </c>
      <c r="L396">
        <v>6</v>
      </c>
      <c r="M396" s="1" t="s">
        <v>26</v>
      </c>
      <c r="N396" s="1" t="s">
        <v>78</v>
      </c>
      <c r="O396">
        <v>2014</v>
      </c>
      <c r="P396">
        <v>14160</v>
      </c>
      <c r="Q396">
        <v>13027.2</v>
      </c>
      <c r="R396">
        <v>5947.2000000000007</v>
      </c>
      <c r="S396" s="22">
        <v>0.45652173913043481</v>
      </c>
      <c r="T396" t="str" cm="1">
        <f t="array" ref="T396">_xlfn.SWITCH(TRUE,data[[#This Row],[Profit Margin]]&lt;0,"Negative",data[[#This Row],[Profit Margin]]&lt;0.1,"Low",data[[#This Row],[Profit Margin]]&lt;0.2,"Medium","High")</f>
        <v>High</v>
      </c>
    </row>
    <row r="397" spans="1:20" x14ac:dyDescent="0.35">
      <c r="A397">
        <v>396</v>
      </c>
      <c r="B397" s="1" t="s">
        <v>18</v>
      </c>
      <c r="C397" s="1" t="s">
        <v>38</v>
      </c>
      <c r="D397" s="1" t="s">
        <v>45</v>
      </c>
      <c r="E397" s="1" t="s">
        <v>48</v>
      </c>
      <c r="F397">
        <v>2907</v>
      </c>
      <c r="G397">
        <v>260</v>
      </c>
      <c r="H397">
        <v>7</v>
      </c>
      <c r="I397">
        <v>1627.92</v>
      </c>
      <c r="J397">
        <v>14535</v>
      </c>
      <c r="K397" s="2">
        <v>41791</v>
      </c>
      <c r="L397">
        <v>6</v>
      </c>
      <c r="M397" s="1" t="s">
        <v>26</v>
      </c>
      <c r="N397" s="1" t="s">
        <v>78</v>
      </c>
      <c r="O397">
        <v>2014</v>
      </c>
      <c r="P397">
        <v>20349</v>
      </c>
      <c r="Q397">
        <v>18721.080000000002</v>
      </c>
      <c r="R397">
        <v>4186.0800000000017</v>
      </c>
      <c r="S397" s="22">
        <v>0.22360248447204975</v>
      </c>
      <c r="T397" t="str" cm="1">
        <f t="array" ref="T397">_xlfn.SWITCH(TRUE,data[[#This Row],[Profit Margin]]&lt;0,"Negative",data[[#This Row],[Profit Margin]]&lt;0.1,"Low",data[[#This Row],[Profit Margin]]&lt;0.2,"Medium","High")</f>
        <v>High</v>
      </c>
    </row>
    <row r="398" spans="1:20" x14ac:dyDescent="0.35">
      <c r="A398">
        <v>397</v>
      </c>
      <c r="B398" s="1" t="s">
        <v>18</v>
      </c>
      <c r="C398" s="1" t="s">
        <v>23</v>
      </c>
      <c r="D398" s="1" t="s">
        <v>45</v>
      </c>
      <c r="E398" s="1" t="s">
        <v>48</v>
      </c>
      <c r="F398">
        <v>1366</v>
      </c>
      <c r="G398">
        <v>260</v>
      </c>
      <c r="H398">
        <v>20</v>
      </c>
      <c r="I398">
        <v>2185.6</v>
      </c>
      <c r="J398">
        <v>13660</v>
      </c>
      <c r="K398" s="2">
        <v>41791</v>
      </c>
      <c r="L398">
        <v>6</v>
      </c>
      <c r="M398" s="1" t="s">
        <v>26</v>
      </c>
      <c r="N398" s="1" t="s">
        <v>78</v>
      </c>
      <c r="O398">
        <v>2014</v>
      </c>
      <c r="P398">
        <v>27320</v>
      </c>
      <c r="Q398">
        <v>25134.400000000001</v>
      </c>
      <c r="R398">
        <v>11474.400000000001</v>
      </c>
      <c r="S398" s="22">
        <v>0.45652173913043481</v>
      </c>
      <c r="T398" t="str" cm="1">
        <f t="array" ref="T398">_xlfn.SWITCH(TRUE,data[[#This Row],[Profit Margin]]&lt;0,"Negative",data[[#This Row],[Profit Margin]]&lt;0.1,"Low",data[[#This Row],[Profit Margin]]&lt;0.2,"Medium","High")</f>
        <v>High</v>
      </c>
    </row>
    <row r="399" spans="1:20" x14ac:dyDescent="0.35">
      <c r="A399">
        <v>398</v>
      </c>
      <c r="B399" s="1" t="s">
        <v>34</v>
      </c>
      <c r="C399" s="1" t="s">
        <v>27</v>
      </c>
      <c r="D399" s="1" t="s">
        <v>45</v>
      </c>
      <c r="E399" s="1" t="s">
        <v>48</v>
      </c>
      <c r="F399">
        <v>2460</v>
      </c>
      <c r="G399">
        <v>260</v>
      </c>
      <c r="H399">
        <v>300</v>
      </c>
      <c r="I399">
        <v>59040</v>
      </c>
      <c r="J399">
        <v>615000</v>
      </c>
      <c r="K399" s="2">
        <v>41791</v>
      </c>
      <c r="L399">
        <v>6</v>
      </c>
      <c r="M399" s="1" t="s">
        <v>26</v>
      </c>
      <c r="N399" s="1" t="s">
        <v>78</v>
      </c>
      <c r="O399">
        <v>2014</v>
      </c>
      <c r="P399">
        <v>738000</v>
      </c>
      <c r="Q399">
        <v>678960</v>
      </c>
      <c r="R399">
        <v>63960</v>
      </c>
      <c r="S399" s="22">
        <v>9.420289855072464E-2</v>
      </c>
      <c r="T399" t="str" cm="1">
        <f t="array" ref="T399">_xlfn.SWITCH(TRUE,data[[#This Row],[Profit Margin]]&lt;0,"Negative",data[[#This Row],[Profit Margin]]&lt;0.1,"Low",data[[#This Row],[Profit Margin]]&lt;0.2,"Medium","High")</f>
        <v>Low</v>
      </c>
    </row>
    <row r="400" spans="1:20" x14ac:dyDescent="0.35">
      <c r="A400">
        <v>399</v>
      </c>
      <c r="B400" s="1" t="s">
        <v>18</v>
      </c>
      <c r="C400" s="1" t="s">
        <v>23</v>
      </c>
      <c r="D400" s="1" t="s">
        <v>45</v>
      </c>
      <c r="E400" s="1" t="s">
        <v>48</v>
      </c>
      <c r="F400">
        <v>1520</v>
      </c>
      <c r="G400">
        <v>260</v>
      </c>
      <c r="H400">
        <v>20</v>
      </c>
      <c r="I400">
        <v>2432</v>
      </c>
      <c r="J400">
        <v>15200</v>
      </c>
      <c r="K400" s="2">
        <v>41944</v>
      </c>
      <c r="L400">
        <v>11</v>
      </c>
      <c r="M400" s="1" t="s">
        <v>41</v>
      </c>
      <c r="N400" s="1" t="s">
        <v>86</v>
      </c>
      <c r="O400">
        <v>2014</v>
      </c>
      <c r="P400">
        <v>30400</v>
      </c>
      <c r="Q400">
        <v>27968</v>
      </c>
      <c r="R400">
        <v>12768</v>
      </c>
      <c r="S400" s="22">
        <v>0.45652173913043476</v>
      </c>
      <c r="T400" t="str" cm="1">
        <f t="array" ref="T400">_xlfn.SWITCH(TRUE,data[[#This Row],[Profit Margin]]&lt;0,"Negative",data[[#This Row],[Profit Margin]]&lt;0.1,"Low",data[[#This Row],[Profit Margin]]&lt;0.2,"Medium","High")</f>
        <v>High</v>
      </c>
    </row>
    <row r="401" spans="1:20" x14ac:dyDescent="0.35">
      <c r="A401">
        <v>400</v>
      </c>
      <c r="B401" s="1" t="s">
        <v>24</v>
      </c>
      <c r="C401" s="1" t="s">
        <v>23</v>
      </c>
      <c r="D401" s="1" t="s">
        <v>45</v>
      </c>
      <c r="E401" s="1" t="s">
        <v>48</v>
      </c>
      <c r="F401">
        <v>711</v>
      </c>
      <c r="G401">
        <v>260</v>
      </c>
      <c r="H401">
        <v>15</v>
      </c>
      <c r="I401">
        <v>853.2</v>
      </c>
      <c r="J401">
        <v>7110</v>
      </c>
      <c r="K401" s="2">
        <v>41974</v>
      </c>
      <c r="L401">
        <v>12</v>
      </c>
      <c r="M401" s="1" t="s">
        <v>28</v>
      </c>
      <c r="N401" s="1" t="s">
        <v>79</v>
      </c>
      <c r="O401">
        <v>2014</v>
      </c>
      <c r="P401">
        <v>10665</v>
      </c>
      <c r="Q401">
        <v>9811.7999999999993</v>
      </c>
      <c r="R401">
        <v>2701.7999999999993</v>
      </c>
      <c r="S401" s="22">
        <v>0.27536231884057966</v>
      </c>
      <c r="T401" t="str" cm="1">
        <f t="array" ref="T401">_xlfn.SWITCH(TRUE,data[[#This Row],[Profit Margin]]&lt;0,"Negative",data[[#This Row],[Profit Margin]]&lt;0.1,"Low",data[[#This Row],[Profit Margin]]&lt;0.2,"Medium","High")</f>
        <v>High</v>
      </c>
    </row>
    <row r="402" spans="1:20" x14ac:dyDescent="0.35">
      <c r="A402">
        <v>401</v>
      </c>
      <c r="B402" s="1" t="s">
        <v>31</v>
      </c>
      <c r="C402" s="1" t="s">
        <v>27</v>
      </c>
      <c r="D402" s="1" t="s">
        <v>45</v>
      </c>
      <c r="E402" s="1" t="s">
        <v>48</v>
      </c>
      <c r="F402">
        <v>1375</v>
      </c>
      <c r="G402">
        <v>260</v>
      </c>
      <c r="H402">
        <v>12</v>
      </c>
      <c r="I402">
        <v>1320</v>
      </c>
      <c r="J402">
        <v>4125</v>
      </c>
      <c r="K402" s="2">
        <v>41609</v>
      </c>
      <c r="L402">
        <v>12</v>
      </c>
      <c r="M402" s="1" t="s">
        <v>28</v>
      </c>
      <c r="N402" s="1" t="s">
        <v>79</v>
      </c>
      <c r="O402">
        <v>2013</v>
      </c>
      <c r="P402">
        <v>16500</v>
      </c>
      <c r="Q402">
        <v>15180</v>
      </c>
      <c r="R402">
        <v>11055</v>
      </c>
      <c r="S402" s="22">
        <v>0.72826086956521741</v>
      </c>
      <c r="T402" t="str" cm="1">
        <f t="array" ref="T402">_xlfn.SWITCH(TRUE,data[[#This Row],[Profit Margin]]&lt;0,"Negative",data[[#This Row],[Profit Margin]]&lt;0.1,"Low",data[[#This Row],[Profit Margin]]&lt;0.2,"Medium","High")</f>
        <v>High</v>
      </c>
    </row>
    <row r="403" spans="1:20" x14ac:dyDescent="0.35">
      <c r="A403">
        <v>402</v>
      </c>
      <c r="B403" s="1" t="s">
        <v>34</v>
      </c>
      <c r="C403" s="1" t="s">
        <v>27</v>
      </c>
      <c r="D403" s="1" t="s">
        <v>45</v>
      </c>
      <c r="E403" s="1" t="s">
        <v>48</v>
      </c>
      <c r="F403">
        <v>635</v>
      </c>
      <c r="G403">
        <v>260</v>
      </c>
      <c r="H403">
        <v>300</v>
      </c>
      <c r="I403">
        <v>15240</v>
      </c>
      <c r="J403">
        <v>158750</v>
      </c>
      <c r="K403" s="2">
        <v>41974</v>
      </c>
      <c r="L403">
        <v>12</v>
      </c>
      <c r="M403" s="1" t="s">
        <v>28</v>
      </c>
      <c r="N403" s="1" t="s">
        <v>79</v>
      </c>
      <c r="O403">
        <v>2014</v>
      </c>
      <c r="P403">
        <v>190500</v>
      </c>
      <c r="Q403">
        <v>175260</v>
      </c>
      <c r="R403">
        <v>16510</v>
      </c>
      <c r="S403" s="22">
        <v>9.420289855072464E-2</v>
      </c>
      <c r="T403" t="str" cm="1">
        <f t="array" ref="T403">_xlfn.SWITCH(TRUE,data[[#This Row],[Profit Margin]]&lt;0,"Negative",data[[#This Row],[Profit Margin]]&lt;0.1,"Low",data[[#This Row],[Profit Margin]]&lt;0.2,"Medium","High")</f>
        <v>Low</v>
      </c>
    </row>
    <row r="404" spans="1:20" x14ac:dyDescent="0.35">
      <c r="A404">
        <v>403</v>
      </c>
      <c r="B404" s="1" t="s">
        <v>18</v>
      </c>
      <c r="C404" s="1" t="s">
        <v>38</v>
      </c>
      <c r="D404" s="1" t="s">
        <v>43</v>
      </c>
      <c r="E404" s="1" t="s">
        <v>48</v>
      </c>
      <c r="F404">
        <v>436.5</v>
      </c>
      <c r="G404">
        <v>250</v>
      </c>
      <c r="H404">
        <v>20</v>
      </c>
      <c r="I404">
        <v>698.40000000000009</v>
      </c>
      <c r="J404">
        <v>4365</v>
      </c>
      <c r="K404" s="2">
        <v>41821</v>
      </c>
      <c r="L404">
        <v>7</v>
      </c>
      <c r="M404" s="1" t="s">
        <v>33</v>
      </c>
      <c r="N404" s="1" t="s">
        <v>81</v>
      </c>
      <c r="O404">
        <v>2014</v>
      </c>
      <c r="P404">
        <v>8730</v>
      </c>
      <c r="Q404">
        <v>8031.6</v>
      </c>
      <c r="R404">
        <v>3666.6000000000004</v>
      </c>
      <c r="S404" s="22">
        <v>0.45652173913043481</v>
      </c>
      <c r="T404" t="str" cm="1">
        <f t="array" ref="T404">_xlfn.SWITCH(TRUE,data[[#This Row],[Profit Margin]]&lt;0,"Negative",data[[#This Row],[Profit Margin]]&lt;0.1,"Low",data[[#This Row],[Profit Margin]]&lt;0.2,"Medium","High")</f>
        <v>High</v>
      </c>
    </row>
    <row r="405" spans="1:20" x14ac:dyDescent="0.35">
      <c r="A405">
        <v>404</v>
      </c>
      <c r="B405" s="1" t="s">
        <v>34</v>
      </c>
      <c r="C405" s="1" t="s">
        <v>19</v>
      </c>
      <c r="D405" s="1" t="s">
        <v>20</v>
      </c>
      <c r="E405" s="1" t="s">
        <v>48</v>
      </c>
      <c r="F405">
        <v>1094</v>
      </c>
      <c r="G405">
        <v>3</v>
      </c>
      <c r="H405">
        <v>300</v>
      </c>
      <c r="I405">
        <v>29538</v>
      </c>
      <c r="J405">
        <v>273500</v>
      </c>
      <c r="K405" s="2">
        <v>41791</v>
      </c>
      <c r="L405">
        <v>6</v>
      </c>
      <c r="M405" s="1" t="s">
        <v>26</v>
      </c>
      <c r="N405" s="1" t="s">
        <v>78</v>
      </c>
      <c r="O405">
        <v>2014</v>
      </c>
      <c r="P405">
        <v>328200</v>
      </c>
      <c r="Q405">
        <v>298662</v>
      </c>
      <c r="R405">
        <v>25162</v>
      </c>
      <c r="S405" s="22">
        <v>8.4249084249084255E-2</v>
      </c>
      <c r="T405" t="str" cm="1">
        <f t="array" ref="T405">_xlfn.SWITCH(TRUE,data[[#This Row],[Profit Margin]]&lt;0,"Negative",data[[#This Row],[Profit Margin]]&lt;0.1,"Low",data[[#This Row],[Profit Margin]]&lt;0.2,"Medium","High")</f>
        <v>Low</v>
      </c>
    </row>
    <row r="406" spans="1:20" x14ac:dyDescent="0.35">
      <c r="A406">
        <v>405</v>
      </c>
      <c r="B406" s="1" t="s">
        <v>31</v>
      </c>
      <c r="C406" s="1" t="s">
        <v>27</v>
      </c>
      <c r="D406" s="1" t="s">
        <v>20</v>
      </c>
      <c r="E406" s="1" t="s">
        <v>48</v>
      </c>
      <c r="F406">
        <v>367</v>
      </c>
      <c r="G406">
        <v>3</v>
      </c>
      <c r="H406">
        <v>12</v>
      </c>
      <c r="I406">
        <v>396.36</v>
      </c>
      <c r="J406">
        <v>1101</v>
      </c>
      <c r="K406" s="2">
        <v>41548</v>
      </c>
      <c r="L406">
        <v>10</v>
      </c>
      <c r="M406" s="1" t="s">
        <v>37</v>
      </c>
      <c r="N406" s="1" t="s">
        <v>84</v>
      </c>
      <c r="O406">
        <v>2013</v>
      </c>
      <c r="P406">
        <v>4404</v>
      </c>
      <c r="Q406">
        <v>4007.64</v>
      </c>
      <c r="R406">
        <v>2906.64</v>
      </c>
      <c r="S406" s="22">
        <v>0.72527472527472525</v>
      </c>
      <c r="T406" t="str" cm="1">
        <f t="array" ref="T406">_xlfn.SWITCH(TRUE,data[[#This Row],[Profit Margin]]&lt;0,"Negative",data[[#This Row],[Profit Margin]]&lt;0.1,"Low",data[[#This Row],[Profit Margin]]&lt;0.2,"Medium","High")</f>
        <v>High</v>
      </c>
    </row>
    <row r="407" spans="1:20" x14ac:dyDescent="0.35">
      <c r="A407">
        <v>406</v>
      </c>
      <c r="B407" s="1" t="s">
        <v>34</v>
      </c>
      <c r="C407" s="1" t="s">
        <v>19</v>
      </c>
      <c r="D407" s="1" t="s">
        <v>29</v>
      </c>
      <c r="E407" s="1" t="s">
        <v>48</v>
      </c>
      <c r="F407">
        <v>3802.5</v>
      </c>
      <c r="G407">
        <v>5</v>
      </c>
      <c r="H407">
        <v>300</v>
      </c>
      <c r="I407">
        <v>102667.5</v>
      </c>
      <c r="J407">
        <v>950625</v>
      </c>
      <c r="K407" s="2">
        <v>41730</v>
      </c>
      <c r="L407">
        <v>4</v>
      </c>
      <c r="M407" s="1" t="s">
        <v>44</v>
      </c>
      <c r="N407" s="1" t="s">
        <v>87</v>
      </c>
      <c r="O407">
        <v>2014</v>
      </c>
      <c r="P407">
        <v>1140750</v>
      </c>
      <c r="Q407">
        <v>1038082.5</v>
      </c>
      <c r="R407">
        <v>87457.5</v>
      </c>
      <c r="S407" s="22">
        <v>8.4249084249084255E-2</v>
      </c>
      <c r="T407" t="str" cm="1">
        <f t="array" ref="T407">_xlfn.SWITCH(TRUE,data[[#This Row],[Profit Margin]]&lt;0,"Negative",data[[#This Row],[Profit Margin]]&lt;0.1,"Low",data[[#This Row],[Profit Margin]]&lt;0.2,"Medium","High")</f>
        <v>Low</v>
      </c>
    </row>
    <row r="408" spans="1:20" x14ac:dyDescent="0.35">
      <c r="A408">
        <v>407</v>
      </c>
      <c r="B408" s="1" t="s">
        <v>18</v>
      </c>
      <c r="C408" s="1" t="s">
        <v>25</v>
      </c>
      <c r="D408" s="1" t="s">
        <v>29</v>
      </c>
      <c r="E408" s="1" t="s">
        <v>48</v>
      </c>
      <c r="F408">
        <v>1666</v>
      </c>
      <c r="G408">
        <v>5</v>
      </c>
      <c r="H408">
        <v>350</v>
      </c>
      <c r="I408">
        <v>52479</v>
      </c>
      <c r="J408">
        <v>433160</v>
      </c>
      <c r="K408" s="2">
        <v>41760</v>
      </c>
      <c r="L408">
        <v>5</v>
      </c>
      <c r="M408" s="1" t="s">
        <v>47</v>
      </c>
      <c r="N408" s="1" t="s">
        <v>47</v>
      </c>
      <c r="O408">
        <v>2014</v>
      </c>
      <c r="P408">
        <v>583100</v>
      </c>
      <c r="Q408">
        <v>530621</v>
      </c>
      <c r="R408">
        <v>97461</v>
      </c>
      <c r="S408" s="22">
        <v>0.18367346938775511</v>
      </c>
      <c r="T408" t="str" cm="1">
        <f t="array" ref="T408">_xlfn.SWITCH(TRUE,data[[#This Row],[Profit Margin]]&lt;0,"Negative",data[[#This Row],[Profit Margin]]&lt;0.1,"Low",data[[#This Row],[Profit Margin]]&lt;0.2,"Medium","High")</f>
        <v>Medium</v>
      </c>
    </row>
    <row r="409" spans="1:20" x14ac:dyDescent="0.35">
      <c r="A409">
        <v>408</v>
      </c>
      <c r="B409" s="1" t="s">
        <v>34</v>
      </c>
      <c r="C409" s="1" t="s">
        <v>25</v>
      </c>
      <c r="D409" s="1" t="s">
        <v>29</v>
      </c>
      <c r="E409" s="1" t="s">
        <v>48</v>
      </c>
      <c r="F409">
        <v>322</v>
      </c>
      <c r="G409">
        <v>5</v>
      </c>
      <c r="H409">
        <v>300</v>
      </c>
      <c r="I409">
        <v>8694</v>
      </c>
      <c r="J409">
        <v>80500</v>
      </c>
      <c r="K409" s="2">
        <v>41518</v>
      </c>
      <c r="L409">
        <v>9</v>
      </c>
      <c r="M409" s="1" t="s">
        <v>36</v>
      </c>
      <c r="N409" s="1" t="s">
        <v>83</v>
      </c>
      <c r="O409">
        <v>2013</v>
      </c>
      <c r="P409">
        <v>96600</v>
      </c>
      <c r="Q409">
        <v>87906</v>
      </c>
      <c r="R409">
        <v>7406</v>
      </c>
      <c r="S409" s="22">
        <v>8.4249084249084255E-2</v>
      </c>
      <c r="T409" t="str" cm="1">
        <f t="array" ref="T409">_xlfn.SWITCH(TRUE,data[[#This Row],[Profit Margin]]&lt;0,"Negative",data[[#This Row],[Profit Margin]]&lt;0.1,"Low",data[[#This Row],[Profit Margin]]&lt;0.2,"Medium","High")</f>
        <v>Low</v>
      </c>
    </row>
    <row r="410" spans="1:20" x14ac:dyDescent="0.35">
      <c r="A410">
        <v>409</v>
      </c>
      <c r="B410" s="1" t="s">
        <v>31</v>
      </c>
      <c r="C410" s="1" t="s">
        <v>19</v>
      </c>
      <c r="D410" s="1" t="s">
        <v>29</v>
      </c>
      <c r="E410" s="1" t="s">
        <v>48</v>
      </c>
      <c r="F410">
        <v>2321</v>
      </c>
      <c r="G410">
        <v>5</v>
      </c>
      <c r="H410">
        <v>12</v>
      </c>
      <c r="I410">
        <v>2506.6799999999998</v>
      </c>
      <c r="J410">
        <v>6963</v>
      </c>
      <c r="K410" s="2">
        <v>41944</v>
      </c>
      <c r="L410">
        <v>11</v>
      </c>
      <c r="M410" s="1" t="s">
        <v>41</v>
      </c>
      <c r="N410" s="1" t="s">
        <v>86</v>
      </c>
      <c r="O410">
        <v>2014</v>
      </c>
      <c r="P410">
        <v>27852</v>
      </c>
      <c r="Q410">
        <v>25345.32</v>
      </c>
      <c r="R410">
        <v>18382.32</v>
      </c>
      <c r="S410" s="22">
        <v>0.72527472527472525</v>
      </c>
      <c r="T410" t="str" cm="1">
        <f t="array" ref="T410">_xlfn.SWITCH(TRUE,data[[#This Row],[Profit Margin]]&lt;0,"Negative",data[[#This Row],[Profit Margin]]&lt;0.1,"Low",data[[#This Row],[Profit Margin]]&lt;0.2,"Medium","High")</f>
        <v>High</v>
      </c>
    </row>
    <row r="411" spans="1:20" x14ac:dyDescent="0.35">
      <c r="A411">
        <v>410</v>
      </c>
      <c r="B411" s="1" t="s">
        <v>32</v>
      </c>
      <c r="C411" s="1" t="s">
        <v>25</v>
      </c>
      <c r="D411" s="1" t="s">
        <v>29</v>
      </c>
      <c r="E411" s="1" t="s">
        <v>48</v>
      </c>
      <c r="F411">
        <v>1857</v>
      </c>
      <c r="G411">
        <v>5</v>
      </c>
      <c r="H411">
        <v>125</v>
      </c>
      <c r="I411">
        <v>20891.25</v>
      </c>
      <c r="J411">
        <v>222840</v>
      </c>
      <c r="K411" s="2">
        <v>41579</v>
      </c>
      <c r="L411">
        <v>11</v>
      </c>
      <c r="M411" s="1" t="s">
        <v>41</v>
      </c>
      <c r="N411" s="1" t="s">
        <v>86</v>
      </c>
      <c r="O411">
        <v>2013</v>
      </c>
      <c r="P411">
        <v>232125</v>
      </c>
      <c r="Q411">
        <v>211233.75</v>
      </c>
      <c r="R411">
        <v>-11606.25</v>
      </c>
      <c r="S411" s="22">
        <v>-5.4945054945054944E-2</v>
      </c>
      <c r="T411" t="str" cm="1">
        <f t="array" ref="T411">_xlfn.SWITCH(TRUE,data[[#This Row],[Profit Margin]]&lt;0,"Negative",data[[#This Row],[Profit Margin]]&lt;0.1,"Low",data[[#This Row],[Profit Margin]]&lt;0.2,"Medium","High")</f>
        <v>Negative</v>
      </c>
    </row>
    <row r="412" spans="1:20" x14ac:dyDescent="0.35">
      <c r="A412">
        <v>411</v>
      </c>
      <c r="B412" s="1" t="s">
        <v>18</v>
      </c>
      <c r="C412" s="1" t="s">
        <v>19</v>
      </c>
      <c r="D412" s="1" t="s">
        <v>29</v>
      </c>
      <c r="E412" s="1" t="s">
        <v>48</v>
      </c>
      <c r="F412">
        <v>1611</v>
      </c>
      <c r="G412">
        <v>5</v>
      </c>
      <c r="H412">
        <v>7</v>
      </c>
      <c r="I412">
        <v>1014.93</v>
      </c>
      <c r="J412">
        <v>8055</v>
      </c>
      <c r="K412" s="2">
        <v>41609</v>
      </c>
      <c r="L412">
        <v>12</v>
      </c>
      <c r="M412" s="1" t="s">
        <v>28</v>
      </c>
      <c r="N412" s="1" t="s">
        <v>79</v>
      </c>
      <c r="O412">
        <v>2013</v>
      </c>
      <c r="P412">
        <v>11277</v>
      </c>
      <c r="Q412">
        <v>10262.07</v>
      </c>
      <c r="R412">
        <v>2207.0699999999997</v>
      </c>
      <c r="S412" s="22">
        <v>0.21507064364207218</v>
      </c>
      <c r="T412" t="str" cm="1">
        <f t="array" ref="T412">_xlfn.SWITCH(TRUE,data[[#This Row],[Profit Margin]]&lt;0,"Negative",data[[#This Row],[Profit Margin]]&lt;0.1,"Low",data[[#This Row],[Profit Margin]]&lt;0.2,"Medium","High")</f>
        <v>High</v>
      </c>
    </row>
    <row r="413" spans="1:20" x14ac:dyDescent="0.35">
      <c r="A413">
        <v>412</v>
      </c>
      <c r="B413" s="1" t="s">
        <v>32</v>
      </c>
      <c r="C413" s="1" t="s">
        <v>38</v>
      </c>
      <c r="D413" s="1" t="s">
        <v>29</v>
      </c>
      <c r="E413" s="1" t="s">
        <v>48</v>
      </c>
      <c r="F413">
        <v>2797</v>
      </c>
      <c r="G413">
        <v>5</v>
      </c>
      <c r="H413">
        <v>125</v>
      </c>
      <c r="I413">
        <v>31466.25</v>
      </c>
      <c r="J413">
        <v>335640</v>
      </c>
      <c r="K413" s="2">
        <v>41974</v>
      </c>
      <c r="L413">
        <v>12</v>
      </c>
      <c r="M413" s="1" t="s">
        <v>28</v>
      </c>
      <c r="N413" s="1" t="s">
        <v>79</v>
      </c>
      <c r="O413">
        <v>2014</v>
      </c>
      <c r="P413">
        <v>349625</v>
      </c>
      <c r="Q413">
        <v>318158.75</v>
      </c>
      <c r="R413">
        <v>-17481.25</v>
      </c>
      <c r="S413" s="22">
        <v>-5.4945054945054944E-2</v>
      </c>
      <c r="T413" t="str" cm="1">
        <f t="array" ref="T413">_xlfn.SWITCH(TRUE,data[[#This Row],[Profit Margin]]&lt;0,"Negative",data[[#This Row],[Profit Margin]]&lt;0.1,"Low",data[[#This Row],[Profit Margin]]&lt;0.2,"Medium","High")</f>
        <v>Negative</v>
      </c>
    </row>
    <row r="414" spans="1:20" x14ac:dyDescent="0.35">
      <c r="A414">
        <v>413</v>
      </c>
      <c r="B414" s="1" t="s">
        <v>34</v>
      </c>
      <c r="C414" s="1" t="s">
        <v>23</v>
      </c>
      <c r="D414" s="1" t="s">
        <v>29</v>
      </c>
      <c r="E414" s="1" t="s">
        <v>48</v>
      </c>
      <c r="F414">
        <v>334</v>
      </c>
      <c r="G414">
        <v>5</v>
      </c>
      <c r="H414">
        <v>300</v>
      </c>
      <c r="I414">
        <v>9018</v>
      </c>
      <c r="J414">
        <v>83500</v>
      </c>
      <c r="K414" s="2">
        <v>41609</v>
      </c>
      <c r="L414">
        <v>12</v>
      </c>
      <c r="M414" s="1" t="s">
        <v>28</v>
      </c>
      <c r="N414" s="1" t="s">
        <v>79</v>
      </c>
      <c r="O414">
        <v>2013</v>
      </c>
      <c r="P414">
        <v>100200</v>
      </c>
      <c r="Q414">
        <v>91182</v>
      </c>
      <c r="R414">
        <v>7682</v>
      </c>
      <c r="S414" s="22">
        <v>8.4249084249084255E-2</v>
      </c>
      <c r="T414" t="str" cm="1">
        <f t="array" ref="T414">_xlfn.SWITCH(TRUE,data[[#This Row],[Profit Margin]]&lt;0,"Negative",data[[#This Row],[Profit Margin]]&lt;0.1,"Low",data[[#This Row],[Profit Margin]]&lt;0.2,"Medium","High")</f>
        <v>Low</v>
      </c>
    </row>
    <row r="415" spans="1:20" x14ac:dyDescent="0.35">
      <c r="A415">
        <v>414</v>
      </c>
      <c r="B415" s="1" t="s">
        <v>34</v>
      </c>
      <c r="C415" s="1" t="s">
        <v>27</v>
      </c>
      <c r="D415" s="1" t="s">
        <v>39</v>
      </c>
      <c r="E415" s="1" t="s">
        <v>48</v>
      </c>
      <c r="F415">
        <v>2565</v>
      </c>
      <c r="G415">
        <v>10</v>
      </c>
      <c r="H415">
        <v>300</v>
      </c>
      <c r="I415">
        <v>69255</v>
      </c>
      <c r="J415">
        <v>641250</v>
      </c>
      <c r="K415" s="2">
        <v>41640</v>
      </c>
      <c r="L415">
        <v>1</v>
      </c>
      <c r="M415" s="1" t="s">
        <v>22</v>
      </c>
      <c r="N415" s="1" t="s">
        <v>77</v>
      </c>
      <c r="O415">
        <v>2014</v>
      </c>
      <c r="P415">
        <v>769500</v>
      </c>
      <c r="Q415">
        <v>700245</v>
      </c>
      <c r="R415">
        <v>58995</v>
      </c>
      <c r="S415" s="22">
        <v>8.4249084249084255E-2</v>
      </c>
      <c r="T415" t="str" cm="1">
        <f t="array" ref="T415">_xlfn.SWITCH(TRUE,data[[#This Row],[Profit Margin]]&lt;0,"Negative",data[[#This Row],[Profit Margin]]&lt;0.1,"Low",data[[#This Row],[Profit Margin]]&lt;0.2,"Medium","High")</f>
        <v>Low</v>
      </c>
    </row>
    <row r="416" spans="1:20" x14ac:dyDescent="0.35">
      <c r="A416">
        <v>415</v>
      </c>
      <c r="B416" s="1" t="s">
        <v>18</v>
      </c>
      <c r="C416" s="1" t="s">
        <v>27</v>
      </c>
      <c r="D416" s="1" t="s">
        <v>39</v>
      </c>
      <c r="E416" s="1" t="s">
        <v>48</v>
      </c>
      <c r="F416">
        <v>2417</v>
      </c>
      <c r="G416">
        <v>10</v>
      </c>
      <c r="H416">
        <v>350</v>
      </c>
      <c r="I416">
        <v>76135.5</v>
      </c>
      <c r="J416">
        <v>628420</v>
      </c>
      <c r="K416" s="2">
        <v>41640</v>
      </c>
      <c r="L416">
        <v>1</v>
      </c>
      <c r="M416" s="1" t="s">
        <v>22</v>
      </c>
      <c r="N416" s="1" t="s">
        <v>77</v>
      </c>
      <c r="O416">
        <v>2014</v>
      </c>
      <c r="P416">
        <v>845950</v>
      </c>
      <c r="Q416">
        <v>769814.5</v>
      </c>
      <c r="R416">
        <v>141394.5</v>
      </c>
      <c r="S416" s="22">
        <v>0.18367346938775511</v>
      </c>
      <c r="T416" t="str" cm="1">
        <f t="array" ref="T416">_xlfn.SWITCH(TRUE,data[[#This Row],[Profit Margin]]&lt;0,"Negative",data[[#This Row],[Profit Margin]]&lt;0.1,"Low",data[[#This Row],[Profit Margin]]&lt;0.2,"Medium","High")</f>
        <v>Medium</v>
      </c>
    </row>
    <row r="417" spans="1:20" x14ac:dyDescent="0.35">
      <c r="A417">
        <v>416</v>
      </c>
      <c r="B417" s="1" t="s">
        <v>24</v>
      </c>
      <c r="C417" s="1" t="s">
        <v>38</v>
      </c>
      <c r="D417" s="1" t="s">
        <v>39</v>
      </c>
      <c r="E417" s="1" t="s">
        <v>48</v>
      </c>
      <c r="F417">
        <v>3675</v>
      </c>
      <c r="G417">
        <v>10</v>
      </c>
      <c r="H417">
        <v>15</v>
      </c>
      <c r="I417">
        <v>4961.25</v>
      </c>
      <c r="J417">
        <v>36750</v>
      </c>
      <c r="K417" s="2">
        <v>41730</v>
      </c>
      <c r="L417">
        <v>4</v>
      </c>
      <c r="M417" s="1" t="s">
        <v>44</v>
      </c>
      <c r="N417" s="1" t="s">
        <v>87</v>
      </c>
      <c r="O417">
        <v>2014</v>
      </c>
      <c r="P417">
        <v>55125</v>
      </c>
      <c r="Q417">
        <v>50163.75</v>
      </c>
      <c r="R417">
        <v>13413.75</v>
      </c>
      <c r="S417" s="22">
        <v>0.26739926739926739</v>
      </c>
      <c r="T417" t="str" cm="1">
        <f t="array" ref="T417">_xlfn.SWITCH(TRUE,data[[#This Row],[Profit Margin]]&lt;0,"Negative",data[[#This Row],[Profit Margin]]&lt;0.1,"Low",data[[#This Row],[Profit Margin]]&lt;0.2,"Medium","High")</f>
        <v>High</v>
      </c>
    </row>
    <row r="418" spans="1:20" x14ac:dyDescent="0.35">
      <c r="A418">
        <v>417</v>
      </c>
      <c r="B418" s="1" t="s">
        <v>34</v>
      </c>
      <c r="C418" s="1" t="s">
        <v>19</v>
      </c>
      <c r="D418" s="1" t="s">
        <v>39</v>
      </c>
      <c r="E418" s="1" t="s">
        <v>48</v>
      </c>
      <c r="F418">
        <v>1094</v>
      </c>
      <c r="G418">
        <v>10</v>
      </c>
      <c r="H418">
        <v>300</v>
      </c>
      <c r="I418">
        <v>29538</v>
      </c>
      <c r="J418">
        <v>273500</v>
      </c>
      <c r="K418" s="2">
        <v>41791</v>
      </c>
      <c r="L418">
        <v>6</v>
      </c>
      <c r="M418" s="1" t="s">
        <v>26</v>
      </c>
      <c r="N418" s="1" t="s">
        <v>78</v>
      </c>
      <c r="O418">
        <v>2014</v>
      </c>
      <c r="P418">
        <v>328200</v>
      </c>
      <c r="Q418">
        <v>298662</v>
      </c>
      <c r="R418">
        <v>25162</v>
      </c>
      <c r="S418" s="22">
        <v>8.4249084249084255E-2</v>
      </c>
      <c r="T418" t="str" cm="1">
        <f t="array" ref="T418">_xlfn.SWITCH(TRUE,data[[#This Row],[Profit Margin]]&lt;0,"Negative",data[[#This Row],[Profit Margin]]&lt;0.1,"Low",data[[#This Row],[Profit Margin]]&lt;0.2,"Medium","High")</f>
        <v>Low</v>
      </c>
    </row>
    <row r="419" spans="1:20" x14ac:dyDescent="0.35">
      <c r="A419">
        <v>418</v>
      </c>
      <c r="B419" s="1" t="s">
        <v>24</v>
      </c>
      <c r="C419" s="1" t="s">
        <v>25</v>
      </c>
      <c r="D419" s="1" t="s">
        <v>39</v>
      </c>
      <c r="E419" s="1" t="s">
        <v>48</v>
      </c>
      <c r="F419">
        <v>1227</v>
      </c>
      <c r="G419">
        <v>10</v>
      </c>
      <c r="H419">
        <v>15</v>
      </c>
      <c r="I419">
        <v>1656.45</v>
      </c>
      <c r="J419">
        <v>12270</v>
      </c>
      <c r="K419" s="2">
        <v>41913</v>
      </c>
      <c r="L419">
        <v>10</v>
      </c>
      <c r="M419" s="1" t="s">
        <v>37</v>
      </c>
      <c r="N419" s="1" t="s">
        <v>84</v>
      </c>
      <c r="O419">
        <v>2014</v>
      </c>
      <c r="P419">
        <v>18405</v>
      </c>
      <c r="Q419">
        <v>16748.55</v>
      </c>
      <c r="R419">
        <v>4478.5499999999993</v>
      </c>
      <c r="S419" s="22">
        <v>0.26739926739926739</v>
      </c>
      <c r="T419" t="str" cm="1">
        <f t="array" ref="T419">_xlfn.SWITCH(TRUE,data[[#This Row],[Profit Margin]]&lt;0,"Negative",data[[#This Row],[Profit Margin]]&lt;0.1,"Low",data[[#This Row],[Profit Margin]]&lt;0.2,"Medium","High")</f>
        <v>High</v>
      </c>
    </row>
    <row r="420" spans="1:20" x14ac:dyDescent="0.35">
      <c r="A420">
        <v>419</v>
      </c>
      <c r="B420" s="1" t="s">
        <v>31</v>
      </c>
      <c r="C420" s="1" t="s">
        <v>27</v>
      </c>
      <c r="D420" s="1" t="s">
        <v>39</v>
      </c>
      <c r="E420" s="1" t="s">
        <v>48</v>
      </c>
      <c r="F420">
        <v>367</v>
      </c>
      <c r="G420">
        <v>10</v>
      </c>
      <c r="H420">
        <v>12</v>
      </c>
      <c r="I420">
        <v>396.36</v>
      </c>
      <c r="J420">
        <v>1101</v>
      </c>
      <c r="K420" s="2">
        <v>41548</v>
      </c>
      <c r="L420">
        <v>10</v>
      </c>
      <c r="M420" s="1" t="s">
        <v>37</v>
      </c>
      <c r="N420" s="1" t="s">
        <v>84</v>
      </c>
      <c r="O420">
        <v>2013</v>
      </c>
      <c r="P420">
        <v>4404</v>
      </c>
      <c r="Q420">
        <v>4007.64</v>
      </c>
      <c r="R420">
        <v>2906.64</v>
      </c>
      <c r="S420" s="22">
        <v>0.72527472527472525</v>
      </c>
      <c r="T420" t="str" cm="1">
        <f t="array" ref="T420">_xlfn.SWITCH(TRUE,data[[#This Row],[Profit Margin]]&lt;0,"Negative",data[[#This Row],[Profit Margin]]&lt;0.1,"Low",data[[#This Row],[Profit Margin]]&lt;0.2,"Medium","High")</f>
        <v>High</v>
      </c>
    </row>
    <row r="421" spans="1:20" x14ac:dyDescent="0.35">
      <c r="A421">
        <v>420</v>
      </c>
      <c r="B421" s="1" t="s">
        <v>34</v>
      </c>
      <c r="C421" s="1" t="s">
        <v>25</v>
      </c>
      <c r="D421" s="1" t="s">
        <v>39</v>
      </c>
      <c r="E421" s="1" t="s">
        <v>48</v>
      </c>
      <c r="F421">
        <v>1324</v>
      </c>
      <c r="G421">
        <v>10</v>
      </c>
      <c r="H421">
        <v>300</v>
      </c>
      <c r="I421">
        <v>35748</v>
      </c>
      <c r="J421">
        <v>331000</v>
      </c>
      <c r="K421" s="2">
        <v>41944</v>
      </c>
      <c r="L421">
        <v>11</v>
      </c>
      <c r="M421" s="1" t="s">
        <v>41</v>
      </c>
      <c r="N421" s="1" t="s">
        <v>86</v>
      </c>
      <c r="O421">
        <v>2014</v>
      </c>
      <c r="P421">
        <v>397200</v>
      </c>
      <c r="Q421">
        <v>361452</v>
      </c>
      <c r="R421">
        <v>30452</v>
      </c>
      <c r="S421" s="22">
        <v>8.4249084249084255E-2</v>
      </c>
      <c r="T421" t="str" cm="1">
        <f t="array" ref="T421">_xlfn.SWITCH(TRUE,data[[#This Row],[Profit Margin]]&lt;0,"Negative",data[[#This Row],[Profit Margin]]&lt;0.1,"Low",data[[#This Row],[Profit Margin]]&lt;0.2,"Medium","High")</f>
        <v>Low</v>
      </c>
    </row>
    <row r="422" spans="1:20" x14ac:dyDescent="0.35">
      <c r="A422">
        <v>421</v>
      </c>
      <c r="B422" s="1" t="s">
        <v>31</v>
      </c>
      <c r="C422" s="1" t="s">
        <v>23</v>
      </c>
      <c r="D422" s="1" t="s">
        <v>39</v>
      </c>
      <c r="E422" s="1" t="s">
        <v>48</v>
      </c>
      <c r="F422">
        <v>1775</v>
      </c>
      <c r="G422">
        <v>10</v>
      </c>
      <c r="H422">
        <v>12</v>
      </c>
      <c r="I422">
        <v>1917</v>
      </c>
      <c r="J422">
        <v>5325</v>
      </c>
      <c r="K422" s="2">
        <v>41579</v>
      </c>
      <c r="L422">
        <v>11</v>
      </c>
      <c r="M422" s="1" t="s">
        <v>41</v>
      </c>
      <c r="N422" s="1" t="s">
        <v>86</v>
      </c>
      <c r="O422">
        <v>2013</v>
      </c>
      <c r="P422">
        <v>21300</v>
      </c>
      <c r="Q422">
        <v>19383</v>
      </c>
      <c r="R422">
        <v>14058</v>
      </c>
      <c r="S422" s="22">
        <v>0.72527472527472525</v>
      </c>
      <c r="T422" t="str" cm="1">
        <f t="array" ref="T422">_xlfn.SWITCH(TRUE,data[[#This Row],[Profit Margin]]&lt;0,"Negative",data[[#This Row],[Profit Margin]]&lt;0.1,"Low",data[[#This Row],[Profit Margin]]&lt;0.2,"Medium","High")</f>
        <v>High</v>
      </c>
    </row>
    <row r="423" spans="1:20" x14ac:dyDescent="0.35">
      <c r="A423">
        <v>422</v>
      </c>
      <c r="B423" s="1" t="s">
        <v>32</v>
      </c>
      <c r="C423" s="1" t="s">
        <v>38</v>
      </c>
      <c r="D423" s="1" t="s">
        <v>39</v>
      </c>
      <c r="E423" s="1" t="s">
        <v>48</v>
      </c>
      <c r="F423">
        <v>2797</v>
      </c>
      <c r="G423">
        <v>10</v>
      </c>
      <c r="H423">
        <v>125</v>
      </c>
      <c r="I423">
        <v>31466.25</v>
      </c>
      <c r="J423">
        <v>335640</v>
      </c>
      <c r="K423" s="2">
        <v>41974</v>
      </c>
      <c r="L423">
        <v>12</v>
      </c>
      <c r="M423" s="1" t="s">
        <v>28</v>
      </c>
      <c r="N423" s="1" t="s">
        <v>79</v>
      </c>
      <c r="O423">
        <v>2014</v>
      </c>
      <c r="P423">
        <v>349625</v>
      </c>
      <c r="Q423">
        <v>318158.75</v>
      </c>
      <c r="R423">
        <v>-17481.25</v>
      </c>
      <c r="S423" s="22">
        <v>-5.4945054945054944E-2</v>
      </c>
      <c r="T423" t="str" cm="1">
        <f t="array" ref="T423">_xlfn.SWITCH(TRUE,data[[#This Row],[Profit Margin]]&lt;0,"Negative",data[[#This Row],[Profit Margin]]&lt;0.1,"Low",data[[#This Row],[Profit Margin]]&lt;0.2,"Medium","High")</f>
        <v>Negative</v>
      </c>
    </row>
    <row r="424" spans="1:20" x14ac:dyDescent="0.35">
      <c r="A424">
        <v>423</v>
      </c>
      <c r="B424" s="1" t="s">
        <v>24</v>
      </c>
      <c r="C424" s="1" t="s">
        <v>27</v>
      </c>
      <c r="D424" s="1" t="s">
        <v>42</v>
      </c>
      <c r="E424" s="1" t="s">
        <v>48</v>
      </c>
      <c r="F424">
        <v>245</v>
      </c>
      <c r="G424">
        <v>120</v>
      </c>
      <c r="H424">
        <v>15</v>
      </c>
      <c r="I424">
        <v>330.75</v>
      </c>
      <c r="J424">
        <v>2450</v>
      </c>
      <c r="K424" s="2">
        <v>41760</v>
      </c>
      <c r="L424">
        <v>5</v>
      </c>
      <c r="M424" s="1" t="s">
        <v>47</v>
      </c>
      <c r="N424" s="1" t="s">
        <v>47</v>
      </c>
      <c r="O424">
        <v>2014</v>
      </c>
      <c r="P424">
        <v>3675</v>
      </c>
      <c r="Q424">
        <v>3344.25</v>
      </c>
      <c r="R424">
        <v>894.25</v>
      </c>
      <c r="S424" s="22">
        <v>0.26739926739926739</v>
      </c>
      <c r="T424" t="str" cm="1">
        <f t="array" ref="T424">_xlfn.SWITCH(TRUE,data[[#This Row],[Profit Margin]]&lt;0,"Negative",data[[#This Row],[Profit Margin]]&lt;0.1,"Low",data[[#This Row],[Profit Margin]]&lt;0.2,"Medium","High")</f>
        <v>High</v>
      </c>
    </row>
    <row r="425" spans="1:20" x14ac:dyDescent="0.35">
      <c r="A425">
        <v>424</v>
      </c>
      <c r="B425" s="1" t="s">
        <v>34</v>
      </c>
      <c r="C425" s="1" t="s">
        <v>19</v>
      </c>
      <c r="D425" s="1" t="s">
        <v>42</v>
      </c>
      <c r="E425" s="1" t="s">
        <v>48</v>
      </c>
      <c r="F425">
        <v>3793.5</v>
      </c>
      <c r="G425">
        <v>120</v>
      </c>
      <c r="H425">
        <v>300</v>
      </c>
      <c r="I425">
        <v>102424.5</v>
      </c>
      <c r="J425">
        <v>948375</v>
      </c>
      <c r="K425" s="2">
        <v>41821</v>
      </c>
      <c r="L425">
        <v>7</v>
      </c>
      <c r="M425" s="1" t="s">
        <v>33</v>
      </c>
      <c r="N425" s="1" t="s">
        <v>81</v>
      </c>
      <c r="O425">
        <v>2014</v>
      </c>
      <c r="P425">
        <v>1138050</v>
      </c>
      <c r="Q425">
        <v>1035625.5</v>
      </c>
      <c r="R425">
        <v>87250.5</v>
      </c>
      <c r="S425" s="22">
        <v>8.4249084249084255E-2</v>
      </c>
      <c r="T425" t="str" cm="1">
        <f t="array" ref="T425">_xlfn.SWITCH(TRUE,data[[#This Row],[Profit Margin]]&lt;0,"Negative",data[[#This Row],[Profit Margin]]&lt;0.1,"Low",data[[#This Row],[Profit Margin]]&lt;0.2,"Medium","High")</f>
        <v>Low</v>
      </c>
    </row>
    <row r="426" spans="1:20" x14ac:dyDescent="0.35">
      <c r="A426">
        <v>425</v>
      </c>
      <c r="B426" s="1" t="s">
        <v>18</v>
      </c>
      <c r="C426" s="1" t="s">
        <v>23</v>
      </c>
      <c r="D426" s="1" t="s">
        <v>42</v>
      </c>
      <c r="E426" s="1" t="s">
        <v>48</v>
      </c>
      <c r="F426">
        <v>1307</v>
      </c>
      <c r="G426">
        <v>120</v>
      </c>
      <c r="H426">
        <v>350</v>
      </c>
      <c r="I426">
        <v>41170.5</v>
      </c>
      <c r="J426">
        <v>339820</v>
      </c>
      <c r="K426" s="2">
        <v>41821</v>
      </c>
      <c r="L426">
        <v>7</v>
      </c>
      <c r="M426" s="1" t="s">
        <v>33</v>
      </c>
      <c r="N426" s="1" t="s">
        <v>81</v>
      </c>
      <c r="O426">
        <v>2014</v>
      </c>
      <c r="P426">
        <v>457450</v>
      </c>
      <c r="Q426">
        <v>416279.5</v>
      </c>
      <c r="R426">
        <v>76459.5</v>
      </c>
      <c r="S426" s="22">
        <v>0.18367346938775511</v>
      </c>
      <c r="T426" t="str" cm="1">
        <f t="array" ref="T426">_xlfn.SWITCH(TRUE,data[[#This Row],[Profit Margin]]&lt;0,"Negative",data[[#This Row],[Profit Margin]]&lt;0.1,"Low",data[[#This Row],[Profit Margin]]&lt;0.2,"Medium","High")</f>
        <v>Medium</v>
      </c>
    </row>
    <row r="427" spans="1:20" x14ac:dyDescent="0.35">
      <c r="A427">
        <v>426</v>
      </c>
      <c r="B427" s="1" t="s">
        <v>32</v>
      </c>
      <c r="C427" s="1" t="s">
        <v>19</v>
      </c>
      <c r="D427" s="1" t="s">
        <v>42</v>
      </c>
      <c r="E427" s="1" t="s">
        <v>48</v>
      </c>
      <c r="F427">
        <v>567</v>
      </c>
      <c r="G427">
        <v>120</v>
      </c>
      <c r="H427">
        <v>125</v>
      </c>
      <c r="I427">
        <v>6378.75</v>
      </c>
      <c r="J427">
        <v>68040</v>
      </c>
      <c r="K427" s="2">
        <v>41883</v>
      </c>
      <c r="L427">
        <v>9</v>
      </c>
      <c r="M427" s="1" t="s">
        <v>36</v>
      </c>
      <c r="N427" s="1" t="s">
        <v>83</v>
      </c>
      <c r="O427">
        <v>2014</v>
      </c>
      <c r="P427">
        <v>70875</v>
      </c>
      <c r="Q427">
        <v>64496.25</v>
      </c>
      <c r="R427">
        <v>-3543.75</v>
      </c>
      <c r="S427" s="22">
        <v>-5.4945054945054944E-2</v>
      </c>
      <c r="T427" t="str" cm="1">
        <f t="array" ref="T427">_xlfn.SWITCH(TRUE,data[[#This Row],[Profit Margin]]&lt;0,"Negative",data[[#This Row],[Profit Margin]]&lt;0.1,"Low",data[[#This Row],[Profit Margin]]&lt;0.2,"Medium","High")</f>
        <v>Negative</v>
      </c>
    </row>
    <row r="428" spans="1:20" x14ac:dyDescent="0.35">
      <c r="A428">
        <v>427</v>
      </c>
      <c r="B428" s="1" t="s">
        <v>32</v>
      </c>
      <c r="C428" s="1" t="s">
        <v>27</v>
      </c>
      <c r="D428" s="1" t="s">
        <v>42</v>
      </c>
      <c r="E428" s="1" t="s">
        <v>48</v>
      </c>
      <c r="F428">
        <v>2110</v>
      </c>
      <c r="G428">
        <v>120</v>
      </c>
      <c r="H428">
        <v>125</v>
      </c>
      <c r="I428">
        <v>23737.5</v>
      </c>
      <c r="J428">
        <v>253200</v>
      </c>
      <c r="K428" s="2">
        <v>41883</v>
      </c>
      <c r="L428">
        <v>9</v>
      </c>
      <c r="M428" s="1" t="s">
        <v>36</v>
      </c>
      <c r="N428" s="1" t="s">
        <v>83</v>
      </c>
      <c r="O428">
        <v>2014</v>
      </c>
      <c r="P428">
        <v>263750</v>
      </c>
      <c r="Q428">
        <v>240012.5</v>
      </c>
      <c r="R428">
        <v>-13187.5</v>
      </c>
      <c r="S428" s="22">
        <v>-5.4945054945054944E-2</v>
      </c>
      <c r="T428" t="str" cm="1">
        <f t="array" ref="T428">_xlfn.SWITCH(TRUE,data[[#This Row],[Profit Margin]]&lt;0,"Negative",data[[#This Row],[Profit Margin]]&lt;0.1,"Low",data[[#This Row],[Profit Margin]]&lt;0.2,"Medium","High")</f>
        <v>Negative</v>
      </c>
    </row>
    <row r="429" spans="1:20" x14ac:dyDescent="0.35">
      <c r="A429">
        <v>428</v>
      </c>
      <c r="B429" s="1" t="s">
        <v>18</v>
      </c>
      <c r="C429" s="1" t="s">
        <v>19</v>
      </c>
      <c r="D429" s="1" t="s">
        <v>42</v>
      </c>
      <c r="E429" s="1" t="s">
        <v>48</v>
      </c>
      <c r="F429">
        <v>1269</v>
      </c>
      <c r="G429">
        <v>120</v>
      </c>
      <c r="H429">
        <v>350</v>
      </c>
      <c r="I429">
        <v>39973.5</v>
      </c>
      <c r="J429">
        <v>329940</v>
      </c>
      <c r="K429" s="2">
        <v>41913</v>
      </c>
      <c r="L429">
        <v>10</v>
      </c>
      <c r="M429" s="1" t="s">
        <v>37</v>
      </c>
      <c r="N429" s="1" t="s">
        <v>84</v>
      </c>
      <c r="O429">
        <v>2014</v>
      </c>
      <c r="P429">
        <v>444150</v>
      </c>
      <c r="Q429">
        <v>404176.5</v>
      </c>
      <c r="R429">
        <v>74236.5</v>
      </c>
      <c r="S429" s="22">
        <v>0.18367346938775511</v>
      </c>
      <c r="T429" t="str" cm="1">
        <f t="array" ref="T429">_xlfn.SWITCH(TRUE,data[[#This Row],[Profit Margin]]&lt;0,"Negative",data[[#This Row],[Profit Margin]]&lt;0.1,"Low",data[[#This Row],[Profit Margin]]&lt;0.2,"Medium","High")</f>
        <v>Medium</v>
      </c>
    </row>
    <row r="430" spans="1:20" x14ac:dyDescent="0.35">
      <c r="A430">
        <v>429</v>
      </c>
      <c r="B430" s="1" t="s">
        <v>31</v>
      </c>
      <c r="C430" s="1" t="s">
        <v>38</v>
      </c>
      <c r="D430" s="1" t="s">
        <v>43</v>
      </c>
      <c r="E430" s="1" t="s">
        <v>48</v>
      </c>
      <c r="F430">
        <v>1956</v>
      </c>
      <c r="G430">
        <v>250</v>
      </c>
      <c r="H430">
        <v>12</v>
      </c>
      <c r="I430">
        <v>2112.48</v>
      </c>
      <c r="J430">
        <v>5868</v>
      </c>
      <c r="K430" s="2">
        <v>41640</v>
      </c>
      <c r="L430">
        <v>1</v>
      </c>
      <c r="M430" s="1" t="s">
        <v>22</v>
      </c>
      <c r="N430" s="1" t="s">
        <v>77</v>
      </c>
      <c r="O430">
        <v>2014</v>
      </c>
      <c r="P430">
        <v>23472</v>
      </c>
      <c r="Q430">
        <v>21359.52</v>
      </c>
      <c r="R430">
        <v>15491.52</v>
      </c>
      <c r="S430" s="22">
        <v>0.72527472527472525</v>
      </c>
      <c r="T430" t="str" cm="1">
        <f t="array" ref="T430">_xlfn.SWITCH(TRUE,data[[#This Row],[Profit Margin]]&lt;0,"Negative",data[[#This Row],[Profit Margin]]&lt;0.1,"Low",data[[#This Row],[Profit Margin]]&lt;0.2,"Medium","High")</f>
        <v>High</v>
      </c>
    </row>
    <row r="431" spans="1:20" x14ac:dyDescent="0.35">
      <c r="A431">
        <v>430</v>
      </c>
      <c r="B431" s="1" t="s">
        <v>34</v>
      </c>
      <c r="C431" s="1" t="s">
        <v>23</v>
      </c>
      <c r="D431" s="1" t="s">
        <v>43</v>
      </c>
      <c r="E431" s="1" t="s">
        <v>48</v>
      </c>
      <c r="F431">
        <v>2659</v>
      </c>
      <c r="G431">
        <v>250</v>
      </c>
      <c r="H431">
        <v>300</v>
      </c>
      <c r="I431">
        <v>71793</v>
      </c>
      <c r="J431">
        <v>664750</v>
      </c>
      <c r="K431" s="2">
        <v>41671</v>
      </c>
      <c r="L431">
        <v>2</v>
      </c>
      <c r="M431" s="1" t="s">
        <v>40</v>
      </c>
      <c r="N431" s="1" t="s">
        <v>85</v>
      </c>
      <c r="O431">
        <v>2014</v>
      </c>
      <c r="P431">
        <v>797700</v>
      </c>
      <c r="Q431">
        <v>725907</v>
      </c>
      <c r="R431">
        <v>61157</v>
      </c>
      <c r="S431" s="22">
        <v>8.4249084249084255E-2</v>
      </c>
      <c r="T431" t="str" cm="1">
        <f t="array" ref="T431">_xlfn.SWITCH(TRUE,data[[#This Row],[Profit Margin]]&lt;0,"Negative",data[[#This Row],[Profit Margin]]&lt;0.1,"Low",data[[#This Row],[Profit Margin]]&lt;0.2,"Medium","High")</f>
        <v>Low</v>
      </c>
    </row>
    <row r="432" spans="1:20" x14ac:dyDescent="0.35">
      <c r="A432">
        <v>431</v>
      </c>
      <c r="B432" s="1" t="s">
        <v>18</v>
      </c>
      <c r="C432" s="1" t="s">
        <v>38</v>
      </c>
      <c r="D432" s="1" t="s">
        <v>43</v>
      </c>
      <c r="E432" s="1" t="s">
        <v>48</v>
      </c>
      <c r="F432">
        <v>1351.5</v>
      </c>
      <c r="G432">
        <v>250</v>
      </c>
      <c r="H432">
        <v>350</v>
      </c>
      <c r="I432">
        <v>42572.25</v>
      </c>
      <c r="J432">
        <v>351390</v>
      </c>
      <c r="K432" s="2">
        <v>41730</v>
      </c>
      <c r="L432">
        <v>4</v>
      </c>
      <c r="M432" s="1" t="s">
        <v>44</v>
      </c>
      <c r="N432" s="1" t="s">
        <v>87</v>
      </c>
      <c r="O432">
        <v>2014</v>
      </c>
      <c r="P432">
        <v>473025</v>
      </c>
      <c r="Q432">
        <v>430452.75</v>
      </c>
      <c r="R432">
        <v>79062.75</v>
      </c>
      <c r="S432" s="22">
        <v>0.18367346938775511</v>
      </c>
      <c r="T432" t="str" cm="1">
        <f t="array" ref="T432">_xlfn.SWITCH(TRUE,data[[#This Row],[Profit Margin]]&lt;0,"Negative",data[[#This Row],[Profit Margin]]&lt;0.1,"Low",data[[#This Row],[Profit Margin]]&lt;0.2,"Medium","High")</f>
        <v>Medium</v>
      </c>
    </row>
    <row r="433" spans="1:20" x14ac:dyDescent="0.35">
      <c r="A433">
        <v>432</v>
      </c>
      <c r="B433" s="1" t="s">
        <v>31</v>
      </c>
      <c r="C433" s="1" t="s">
        <v>23</v>
      </c>
      <c r="D433" s="1" t="s">
        <v>43</v>
      </c>
      <c r="E433" s="1" t="s">
        <v>48</v>
      </c>
      <c r="F433">
        <v>880</v>
      </c>
      <c r="G433">
        <v>250</v>
      </c>
      <c r="H433">
        <v>12</v>
      </c>
      <c r="I433">
        <v>950.4</v>
      </c>
      <c r="J433">
        <v>2640</v>
      </c>
      <c r="K433" s="2">
        <v>41760</v>
      </c>
      <c r="L433">
        <v>5</v>
      </c>
      <c r="M433" s="1" t="s">
        <v>47</v>
      </c>
      <c r="N433" s="1" t="s">
        <v>47</v>
      </c>
      <c r="O433">
        <v>2014</v>
      </c>
      <c r="P433">
        <v>10560</v>
      </c>
      <c r="Q433">
        <v>9609.6</v>
      </c>
      <c r="R433">
        <v>6969.6</v>
      </c>
      <c r="S433" s="22">
        <v>0.72527472527472525</v>
      </c>
      <c r="T433" t="str" cm="1">
        <f t="array" ref="T433">_xlfn.SWITCH(TRUE,data[[#This Row],[Profit Margin]]&lt;0,"Negative",data[[#This Row],[Profit Margin]]&lt;0.1,"Low",data[[#This Row],[Profit Margin]]&lt;0.2,"Medium","High")</f>
        <v>High</v>
      </c>
    </row>
    <row r="434" spans="1:20" x14ac:dyDescent="0.35">
      <c r="A434">
        <v>433</v>
      </c>
      <c r="B434" s="1" t="s">
        <v>34</v>
      </c>
      <c r="C434" s="1" t="s">
        <v>38</v>
      </c>
      <c r="D434" s="1" t="s">
        <v>43</v>
      </c>
      <c r="E434" s="1" t="s">
        <v>48</v>
      </c>
      <c r="F434">
        <v>1867</v>
      </c>
      <c r="G434">
        <v>250</v>
      </c>
      <c r="H434">
        <v>300</v>
      </c>
      <c r="I434">
        <v>50409</v>
      </c>
      <c r="J434">
        <v>466750</v>
      </c>
      <c r="K434" s="2">
        <v>41883</v>
      </c>
      <c r="L434">
        <v>9</v>
      </c>
      <c r="M434" s="1" t="s">
        <v>36</v>
      </c>
      <c r="N434" s="1" t="s">
        <v>83</v>
      </c>
      <c r="O434">
        <v>2014</v>
      </c>
      <c r="P434">
        <v>560100</v>
      </c>
      <c r="Q434">
        <v>509691</v>
      </c>
      <c r="R434">
        <v>42941</v>
      </c>
      <c r="S434" s="22">
        <v>8.4249084249084255E-2</v>
      </c>
      <c r="T434" t="str" cm="1">
        <f t="array" ref="T434">_xlfn.SWITCH(TRUE,data[[#This Row],[Profit Margin]]&lt;0,"Negative",data[[#This Row],[Profit Margin]]&lt;0.1,"Low",data[[#This Row],[Profit Margin]]&lt;0.2,"Medium","High")</f>
        <v>Low</v>
      </c>
    </row>
    <row r="435" spans="1:20" x14ac:dyDescent="0.35">
      <c r="A435">
        <v>434</v>
      </c>
      <c r="B435" s="1" t="s">
        <v>31</v>
      </c>
      <c r="C435" s="1" t="s">
        <v>25</v>
      </c>
      <c r="D435" s="1" t="s">
        <v>43</v>
      </c>
      <c r="E435" s="1" t="s">
        <v>48</v>
      </c>
      <c r="F435">
        <v>2234</v>
      </c>
      <c r="G435">
        <v>250</v>
      </c>
      <c r="H435">
        <v>12</v>
      </c>
      <c r="I435">
        <v>2412.7199999999998</v>
      </c>
      <c r="J435">
        <v>6702</v>
      </c>
      <c r="K435" s="2">
        <v>41518</v>
      </c>
      <c r="L435">
        <v>9</v>
      </c>
      <c r="M435" s="1" t="s">
        <v>36</v>
      </c>
      <c r="N435" s="1" t="s">
        <v>83</v>
      </c>
      <c r="O435">
        <v>2013</v>
      </c>
      <c r="P435">
        <v>26808</v>
      </c>
      <c r="Q435">
        <v>24395.279999999999</v>
      </c>
      <c r="R435">
        <v>17693.28</v>
      </c>
      <c r="S435" s="22">
        <v>0.72527472527472525</v>
      </c>
      <c r="T435" t="str" cm="1">
        <f t="array" ref="T435">_xlfn.SWITCH(TRUE,data[[#This Row],[Profit Margin]]&lt;0,"Negative",data[[#This Row],[Profit Margin]]&lt;0.1,"Low",data[[#This Row],[Profit Margin]]&lt;0.2,"Medium","High")</f>
        <v>High</v>
      </c>
    </row>
    <row r="436" spans="1:20" x14ac:dyDescent="0.35">
      <c r="A436">
        <v>435</v>
      </c>
      <c r="B436" s="1" t="s">
        <v>24</v>
      </c>
      <c r="C436" s="1" t="s">
        <v>25</v>
      </c>
      <c r="D436" s="1" t="s">
        <v>43</v>
      </c>
      <c r="E436" s="1" t="s">
        <v>48</v>
      </c>
      <c r="F436">
        <v>1227</v>
      </c>
      <c r="G436">
        <v>250</v>
      </c>
      <c r="H436">
        <v>15</v>
      </c>
      <c r="I436">
        <v>1656.45</v>
      </c>
      <c r="J436">
        <v>12270</v>
      </c>
      <c r="K436" s="2">
        <v>41913</v>
      </c>
      <c r="L436">
        <v>10</v>
      </c>
      <c r="M436" s="1" t="s">
        <v>37</v>
      </c>
      <c r="N436" s="1" t="s">
        <v>84</v>
      </c>
      <c r="O436">
        <v>2014</v>
      </c>
      <c r="P436">
        <v>18405</v>
      </c>
      <c r="Q436">
        <v>16748.55</v>
      </c>
      <c r="R436">
        <v>4478.5499999999993</v>
      </c>
      <c r="S436" s="22">
        <v>0.26739926739926739</v>
      </c>
      <c r="T436" t="str" cm="1">
        <f t="array" ref="T436">_xlfn.SWITCH(TRUE,data[[#This Row],[Profit Margin]]&lt;0,"Negative",data[[#This Row],[Profit Margin]]&lt;0.1,"Low",data[[#This Row],[Profit Margin]]&lt;0.2,"Medium","High")</f>
        <v>High</v>
      </c>
    </row>
    <row r="437" spans="1:20" x14ac:dyDescent="0.35">
      <c r="A437">
        <v>436</v>
      </c>
      <c r="B437" s="1" t="s">
        <v>32</v>
      </c>
      <c r="C437" s="1" t="s">
        <v>27</v>
      </c>
      <c r="D437" s="1" t="s">
        <v>43</v>
      </c>
      <c r="E437" s="1" t="s">
        <v>48</v>
      </c>
      <c r="F437">
        <v>877</v>
      </c>
      <c r="G437">
        <v>250</v>
      </c>
      <c r="H437">
        <v>125</v>
      </c>
      <c r="I437">
        <v>9866.25</v>
      </c>
      <c r="J437">
        <v>105240</v>
      </c>
      <c r="K437" s="2">
        <v>41944</v>
      </c>
      <c r="L437">
        <v>11</v>
      </c>
      <c r="M437" s="1" t="s">
        <v>41</v>
      </c>
      <c r="N437" s="1" t="s">
        <v>86</v>
      </c>
      <c r="O437">
        <v>2014</v>
      </c>
      <c r="P437">
        <v>109625</v>
      </c>
      <c r="Q437">
        <v>99758.75</v>
      </c>
      <c r="R437">
        <v>-5481.25</v>
      </c>
      <c r="S437" s="22">
        <v>-5.4945054945054944E-2</v>
      </c>
      <c r="T437" t="str" cm="1">
        <f t="array" ref="T437">_xlfn.SWITCH(TRUE,data[[#This Row],[Profit Margin]]&lt;0,"Negative",data[[#This Row],[Profit Margin]]&lt;0.1,"Low",data[[#This Row],[Profit Margin]]&lt;0.2,"Medium","High")</f>
        <v>Negative</v>
      </c>
    </row>
    <row r="438" spans="1:20" x14ac:dyDescent="0.35">
      <c r="A438">
        <v>437</v>
      </c>
      <c r="B438" s="1" t="s">
        <v>18</v>
      </c>
      <c r="C438" s="1" t="s">
        <v>38</v>
      </c>
      <c r="D438" s="1" t="s">
        <v>45</v>
      </c>
      <c r="E438" s="1" t="s">
        <v>48</v>
      </c>
      <c r="F438">
        <v>2071</v>
      </c>
      <c r="G438">
        <v>260</v>
      </c>
      <c r="H438">
        <v>350</v>
      </c>
      <c r="I438">
        <v>65236.5</v>
      </c>
      <c r="J438">
        <v>538460</v>
      </c>
      <c r="K438" s="2">
        <v>41883</v>
      </c>
      <c r="L438">
        <v>9</v>
      </c>
      <c r="M438" s="1" t="s">
        <v>36</v>
      </c>
      <c r="N438" s="1" t="s">
        <v>83</v>
      </c>
      <c r="O438">
        <v>2014</v>
      </c>
      <c r="P438">
        <v>724850</v>
      </c>
      <c r="Q438">
        <v>659613.5</v>
      </c>
      <c r="R438">
        <v>121153.5</v>
      </c>
      <c r="S438" s="22">
        <v>0.18367346938775511</v>
      </c>
      <c r="T438" t="str" cm="1">
        <f t="array" ref="T438">_xlfn.SWITCH(TRUE,data[[#This Row],[Profit Margin]]&lt;0,"Negative",data[[#This Row],[Profit Margin]]&lt;0.1,"Low",data[[#This Row],[Profit Margin]]&lt;0.2,"Medium","High")</f>
        <v>Medium</v>
      </c>
    </row>
    <row r="439" spans="1:20" x14ac:dyDescent="0.35">
      <c r="A439">
        <v>438</v>
      </c>
      <c r="B439" s="1" t="s">
        <v>18</v>
      </c>
      <c r="C439" s="1" t="s">
        <v>19</v>
      </c>
      <c r="D439" s="1" t="s">
        <v>45</v>
      </c>
      <c r="E439" s="1" t="s">
        <v>48</v>
      </c>
      <c r="F439">
        <v>1269</v>
      </c>
      <c r="G439">
        <v>260</v>
      </c>
      <c r="H439">
        <v>350</v>
      </c>
      <c r="I439">
        <v>39973.5</v>
      </c>
      <c r="J439">
        <v>329940</v>
      </c>
      <c r="K439" s="2">
        <v>41913</v>
      </c>
      <c r="L439">
        <v>10</v>
      </c>
      <c r="M439" s="1" t="s">
        <v>37</v>
      </c>
      <c r="N439" s="1" t="s">
        <v>84</v>
      </c>
      <c r="O439">
        <v>2014</v>
      </c>
      <c r="P439">
        <v>444150</v>
      </c>
      <c r="Q439">
        <v>404176.5</v>
      </c>
      <c r="R439">
        <v>74236.5</v>
      </c>
      <c r="S439" s="22">
        <v>0.18367346938775511</v>
      </c>
      <c r="T439" t="str" cm="1">
        <f t="array" ref="T439">_xlfn.SWITCH(TRUE,data[[#This Row],[Profit Margin]]&lt;0,"Negative",data[[#This Row],[Profit Margin]]&lt;0.1,"Low",data[[#This Row],[Profit Margin]]&lt;0.2,"Medium","High")</f>
        <v>Medium</v>
      </c>
    </row>
    <row r="440" spans="1:20" x14ac:dyDescent="0.35">
      <c r="A440">
        <v>439</v>
      </c>
      <c r="B440" s="1" t="s">
        <v>24</v>
      </c>
      <c r="C440" s="1" t="s">
        <v>23</v>
      </c>
      <c r="D440" s="1" t="s">
        <v>45</v>
      </c>
      <c r="E440" s="1" t="s">
        <v>48</v>
      </c>
      <c r="F440">
        <v>970</v>
      </c>
      <c r="G440">
        <v>260</v>
      </c>
      <c r="H440">
        <v>15</v>
      </c>
      <c r="I440">
        <v>1309.5</v>
      </c>
      <c r="J440">
        <v>9700</v>
      </c>
      <c r="K440" s="2">
        <v>41579</v>
      </c>
      <c r="L440">
        <v>11</v>
      </c>
      <c r="M440" s="1" t="s">
        <v>41</v>
      </c>
      <c r="N440" s="1" t="s">
        <v>86</v>
      </c>
      <c r="O440">
        <v>2013</v>
      </c>
      <c r="P440">
        <v>14550</v>
      </c>
      <c r="Q440">
        <v>13240.5</v>
      </c>
      <c r="R440">
        <v>3540.5</v>
      </c>
      <c r="S440" s="22">
        <v>0.26739926739926739</v>
      </c>
      <c r="T440" t="str" cm="1">
        <f t="array" ref="T440">_xlfn.SWITCH(TRUE,data[[#This Row],[Profit Margin]]&lt;0,"Negative",data[[#This Row],[Profit Margin]]&lt;0.1,"Low",data[[#This Row],[Profit Margin]]&lt;0.2,"Medium","High")</f>
        <v>High</v>
      </c>
    </row>
    <row r="441" spans="1:20" x14ac:dyDescent="0.35">
      <c r="A441">
        <v>440</v>
      </c>
      <c r="B441" s="1" t="s">
        <v>18</v>
      </c>
      <c r="C441" s="1" t="s">
        <v>27</v>
      </c>
      <c r="D441" s="1" t="s">
        <v>45</v>
      </c>
      <c r="E441" s="1" t="s">
        <v>48</v>
      </c>
      <c r="F441">
        <v>1694</v>
      </c>
      <c r="G441">
        <v>260</v>
      </c>
      <c r="H441">
        <v>20</v>
      </c>
      <c r="I441">
        <v>3049.2</v>
      </c>
      <c r="J441">
        <v>16940</v>
      </c>
      <c r="K441" s="2">
        <v>41944</v>
      </c>
      <c r="L441">
        <v>11</v>
      </c>
      <c r="M441" s="1" t="s">
        <v>41</v>
      </c>
      <c r="N441" s="1" t="s">
        <v>86</v>
      </c>
      <c r="O441">
        <v>2014</v>
      </c>
      <c r="P441">
        <v>33880</v>
      </c>
      <c r="Q441">
        <v>30830.799999999999</v>
      </c>
      <c r="R441">
        <v>13890.8</v>
      </c>
      <c r="S441" s="22">
        <v>0.45054945054945056</v>
      </c>
      <c r="T441" t="str" cm="1">
        <f t="array" ref="T441">_xlfn.SWITCH(TRUE,data[[#This Row],[Profit Margin]]&lt;0,"Negative",data[[#This Row],[Profit Margin]]&lt;0.1,"Low",data[[#This Row],[Profit Margin]]&lt;0.2,"Medium","High")</f>
        <v>High</v>
      </c>
    </row>
    <row r="442" spans="1:20" x14ac:dyDescent="0.35">
      <c r="A442">
        <v>441</v>
      </c>
      <c r="B442" s="1" t="s">
        <v>18</v>
      </c>
      <c r="C442" s="1" t="s">
        <v>23</v>
      </c>
      <c r="D442" s="1" t="s">
        <v>20</v>
      </c>
      <c r="E442" s="1" t="s">
        <v>48</v>
      </c>
      <c r="F442">
        <v>663</v>
      </c>
      <c r="G442">
        <v>3</v>
      </c>
      <c r="H442">
        <v>20</v>
      </c>
      <c r="I442">
        <v>1193.4000000000001</v>
      </c>
      <c r="J442">
        <v>6630</v>
      </c>
      <c r="K442" s="2">
        <v>41760</v>
      </c>
      <c r="L442">
        <v>5</v>
      </c>
      <c r="M442" s="1" t="s">
        <v>47</v>
      </c>
      <c r="N442" s="1" t="s">
        <v>47</v>
      </c>
      <c r="O442">
        <v>2014</v>
      </c>
      <c r="P442">
        <v>13260</v>
      </c>
      <c r="Q442">
        <v>12066.6</v>
      </c>
      <c r="R442">
        <v>5436.6</v>
      </c>
      <c r="S442" s="22">
        <v>0.45054945054945056</v>
      </c>
      <c r="T442" t="str" cm="1">
        <f t="array" ref="T442">_xlfn.SWITCH(TRUE,data[[#This Row],[Profit Margin]]&lt;0,"Negative",data[[#This Row],[Profit Margin]]&lt;0.1,"Low",data[[#This Row],[Profit Margin]]&lt;0.2,"Medium","High")</f>
        <v>High</v>
      </c>
    </row>
    <row r="443" spans="1:20" x14ac:dyDescent="0.35">
      <c r="A443">
        <v>442</v>
      </c>
      <c r="B443" s="1" t="s">
        <v>18</v>
      </c>
      <c r="C443" s="1" t="s">
        <v>19</v>
      </c>
      <c r="D443" s="1" t="s">
        <v>20</v>
      </c>
      <c r="E443" s="1" t="s">
        <v>48</v>
      </c>
      <c r="F443">
        <v>819</v>
      </c>
      <c r="G443">
        <v>3</v>
      </c>
      <c r="H443">
        <v>7</v>
      </c>
      <c r="I443">
        <v>515.97</v>
      </c>
      <c r="J443">
        <v>4095</v>
      </c>
      <c r="K443" s="2">
        <v>41821</v>
      </c>
      <c r="L443">
        <v>7</v>
      </c>
      <c r="M443" s="1" t="s">
        <v>33</v>
      </c>
      <c r="N443" s="1" t="s">
        <v>81</v>
      </c>
      <c r="O443">
        <v>2014</v>
      </c>
      <c r="P443">
        <v>5733</v>
      </c>
      <c r="Q443">
        <v>5217.03</v>
      </c>
      <c r="R443">
        <v>1122.0299999999997</v>
      </c>
      <c r="S443" s="22">
        <v>0.21507064364207218</v>
      </c>
      <c r="T443" t="str" cm="1">
        <f t="array" ref="T443">_xlfn.SWITCH(TRUE,data[[#This Row],[Profit Margin]]&lt;0,"Negative",data[[#This Row],[Profit Margin]]&lt;0.1,"Low",data[[#This Row],[Profit Margin]]&lt;0.2,"Medium","High")</f>
        <v>High</v>
      </c>
    </row>
    <row r="444" spans="1:20" x14ac:dyDescent="0.35">
      <c r="A444">
        <v>443</v>
      </c>
      <c r="B444" s="1" t="s">
        <v>31</v>
      </c>
      <c r="C444" s="1" t="s">
        <v>23</v>
      </c>
      <c r="D444" s="1" t="s">
        <v>20</v>
      </c>
      <c r="E444" s="1" t="s">
        <v>48</v>
      </c>
      <c r="F444">
        <v>1580</v>
      </c>
      <c r="G444">
        <v>3</v>
      </c>
      <c r="H444">
        <v>12</v>
      </c>
      <c r="I444">
        <v>1706.4</v>
      </c>
      <c r="J444">
        <v>4740</v>
      </c>
      <c r="K444" s="2">
        <v>41883</v>
      </c>
      <c r="L444">
        <v>9</v>
      </c>
      <c r="M444" s="1" t="s">
        <v>36</v>
      </c>
      <c r="N444" s="1" t="s">
        <v>83</v>
      </c>
      <c r="O444">
        <v>2014</v>
      </c>
      <c r="P444">
        <v>18960</v>
      </c>
      <c r="Q444">
        <v>17253.599999999999</v>
      </c>
      <c r="R444">
        <v>12513.599999999999</v>
      </c>
      <c r="S444" s="22">
        <v>0.72527472527472525</v>
      </c>
      <c r="T444" t="str" cm="1">
        <f t="array" ref="T444">_xlfn.SWITCH(TRUE,data[[#This Row],[Profit Margin]]&lt;0,"Negative",data[[#This Row],[Profit Margin]]&lt;0.1,"Low",data[[#This Row],[Profit Margin]]&lt;0.2,"Medium","High")</f>
        <v>High</v>
      </c>
    </row>
    <row r="445" spans="1:20" x14ac:dyDescent="0.35">
      <c r="A445">
        <v>444</v>
      </c>
      <c r="B445" s="1" t="s">
        <v>18</v>
      </c>
      <c r="C445" s="1" t="s">
        <v>27</v>
      </c>
      <c r="D445" s="1" t="s">
        <v>20</v>
      </c>
      <c r="E445" s="1" t="s">
        <v>48</v>
      </c>
      <c r="F445">
        <v>521</v>
      </c>
      <c r="G445">
        <v>3</v>
      </c>
      <c r="H445">
        <v>7</v>
      </c>
      <c r="I445">
        <v>328.23</v>
      </c>
      <c r="J445">
        <v>2605</v>
      </c>
      <c r="K445" s="2">
        <v>41974</v>
      </c>
      <c r="L445">
        <v>12</v>
      </c>
      <c r="M445" s="1" t="s">
        <v>28</v>
      </c>
      <c r="N445" s="1" t="s">
        <v>79</v>
      </c>
      <c r="O445">
        <v>2014</v>
      </c>
      <c r="P445">
        <v>3647</v>
      </c>
      <c r="Q445">
        <v>3318.77</v>
      </c>
      <c r="R445">
        <v>713.77</v>
      </c>
      <c r="S445" s="22">
        <v>0.21507064364207221</v>
      </c>
      <c r="T445" t="str" cm="1">
        <f t="array" ref="T445">_xlfn.SWITCH(TRUE,data[[#This Row],[Profit Margin]]&lt;0,"Negative",data[[#This Row],[Profit Margin]]&lt;0.1,"Low",data[[#This Row],[Profit Margin]]&lt;0.2,"Medium","High")</f>
        <v>High</v>
      </c>
    </row>
    <row r="446" spans="1:20" x14ac:dyDescent="0.35">
      <c r="A446">
        <v>445</v>
      </c>
      <c r="B446" s="1" t="s">
        <v>18</v>
      </c>
      <c r="C446" s="1" t="s">
        <v>38</v>
      </c>
      <c r="D446" s="1" t="s">
        <v>39</v>
      </c>
      <c r="E446" s="1" t="s">
        <v>48</v>
      </c>
      <c r="F446">
        <v>973</v>
      </c>
      <c r="G446">
        <v>10</v>
      </c>
      <c r="H446">
        <v>20</v>
      </c>
      <c r="I446">
        <v>1751.4</v>
      </c>
      <c r="J446">
        <v>9730</v>
      </c>
      <c r="K446" s="2">
        <v>41699</v>
      </c>
      <c r="L446">
        <v>3</v>
      </c>
      <c r="M446" s="1" t="s">
        <v>30</v>
      </c>
      <c r="N446" s="1" t="s">
        <v>80</v>
      </c>
      <c r="O446">
        <v>2014</v>
      </c>
      <c r="P446">
        <v>19460</v>
      </c>
      <c r="Q446">
        <v>17708.599999999999</v>
      </c>
      <c r="R446">
        <v>7978.5999999999985</v>
      </c>
      <c r="S446" s="22">
        <v>0.4505494505494505</v>
      </c>
      <c r="T446" t="str" cm="1">
        <f t="array" ref="T446">_xlfn.SWITCH(TRUE,data[[#This Row],[Profit Margin]]&lt;0,"Negative",data[[#This Row],[Profit Margin]]&lt;0.1,"Low",data[[#This Row],[Profit Margin]]&lt;0.2,"Medium","High")</f>
        <v>High</v>
      </c>
    </row>
    <row r="447" spans="1:20" x14ac:dyDescent="0.35">
      <c r="A447">
        <v>446</v>
      </c>
      <c r="B447" s="1" t="s">
        <v>18</v>
      </c>
      <c r="C447" s="1" t="s">
        <v>27</v>
      </c>
      <c r="D447" s="1" t="s">
        <v>39</v>
      </c>
      <c r="E447" s="1" t="s">
        <v>48</v>
      </c>
      <c r="F447">
        <v>1038</v>
      </c>
      <c r="G447">
        <v>10</v>
      </c>
      <c r="H447">
        <v>20</v>
      </c>
      <c r="I447">
        <v>1868.4</v>
      </c>
      <c r="J447">
        <v>10380</v>
      </c>
      <c r="K447" s="2">
        <v>41791</v>
      </c>
      <c r="L447">
        <v>6</v>
      </c>
      <c r="M447" s="1" t="s">
        <v>26</v>
      </c>
      <c r="N447" s="1" t="s">
        <v>78</v>
      </c>
      <c r="O447">
        <v>2014</v>
      </c>
      <c r="P447">
        <v>20760</v>
      </c>
      <c r="Q447">
        <v>18891.599999999999</v>
      </c>
      <c r="R447">
        <v>8511.5999999999985</v>
      </c>
      <c r="S447" s="22">
        <v>0.4505494505494505</v>
      </c>
      <c r="T447" t="str" cm="1">
        <f t="array" ref="T447">_xlfn.SWITCH(TRUE,data[[#This Row],[Profit Margin]]&lt;0,"Negative",data[[#This Row],[Profit Margin]]&lt;0.1,"Low",data[[#This Row],[Profit Margin]]&lt;0.2,"Medium","High")</f>
        <v>High</v>
      </c>
    </row>
    <row r="448" spans="1:20" x14ac:dyDescent="0.35">
      <c r="A448">
        <v>447</v>
      </c>
      <c r="B448" s="1" t="s">
        <v>18</v>
      </c>
      <c r="C448" s="1" t="s">
        <v>23</v>
      </c>
      <c r="D448" s="1" t="s">
        <v>39</v>
      </c>
      <c r="E448" s="1" t="s">
        <v>48</v>
      </c>
      <c r="F448">
        <v>360</v>
      </c>
      <c r="G448">
        <v>10</v>
      </c>
      <c r="H448">
        <v>7</v>
      </c>
      <c r="I448">
        <v>226.8</v>
      </c>
      <c r="J448">
        <v>1800</v>
      </c>
      <c r="K448" s="2">
        <v>41913</v>
      </c>
      <c r="L448">
        <v>10</v>
      </c>
      <c r="M448" s="1" t="s">
        <v>37</v>
      </c>
      <c r="N448" s="1" t="s">
        <v>84</v>
      </c>
      <c r="O448">
        <v>2014</v>
      </c>
      <c r="P448">
        <v>2520</v>
      </c>
      <c r="Q448">
        <v>2293.1999999999998</v>
      </c>
      <c r="R448">
        <v>493.19999999999982</v>
      </c>
      <c r="S448" s="22">
        <v>0.21507064364207215</v>
      </c>
      <c r="T448" t="str" cm="1">
        <f t="array" ref="T448">_xlfn.SWITCH(TRUE,data[[#This Row],[Profit Margin]]&lt;0,"Negative",data[[#This Row],[Profit Margin]]&lt;0.1,"Low",data[[#This Row],[Profit Margin]]&lt;0.2,"Medium","High")</f>
        <v>High</v>
      </c>
    </row>
    <row r="449" spans="1:20" x14ac:dyDescent="0.35">
      <c r="A449">
        <v>448</v>
      </c>
      <c r="B449" s="1" t="s">
        <v>31</v>
      </c>
      <c r="C449" s="1" t="s">
        <v>25</v>
      </c>
      <c r="D449" s="1" t="s">
        <v>42</v>
      </c>
      <c r="E449" s="1" t="s">
        <v>48</v>
      </c>
      <c r="F449">
        <v>1967</v>
      </c>
      <c r="G449">
        <v>120</v>
      </c>
      <c r="H449">
        <v>12</v>
      </c>
      <c r="I449">
        <v>2124.36</v>
      </c>
      <c r="J449">
        <v>5901</v>
      </c>
      <c r="K449" s="2">
        <v>41699</v>
      </c>
      <c r="L449">
        <v>3</v>
      </c>
      <c r="M449" s="1" t="s">
        <v>30</v>
      </c>
      <c r="N449" s="1" t="s">
        <v>80</v>
      </c>
      <c r="O449">
        <v>2014</v>
      </c>
      <c r="P449">
        <v>23604</v>
      </c>
      <c r="Q449">
        <v>21479.64</v>
      </c>
      <c r="R449">
        <v>15578.64</v>
      </c>
      <c r="S449" s="22">
        <v>0.72527472527472525</v>
      </c>
      <c r="T449" t="str" cm="1">
        <f t="array" ref="T449">_xlfn.SWITCH(TRUE,data[[#This Row],[Profit Margin]]&lt;0,"Negative",data[[#This Row],[Profit Margin]]&lt;0.1,"Low",data[[#This Row],[Profit Margin]]&lt;0.2,"Medium","High")</f>
        <v>High</v>
      </c>
    </row>
    <row r="450" spans="1:20" x14ac:dyDescent="0.35">
      <c r="A450">
        <v>449</v>
      </c>
      <c r="B450" s="1" t="s">
        <v>24</v>
      </c>
      <c r="C450" s="1" t="s">
        <v>27</v>
      </c>
      <c r="D450" s="1" t="s">
        <v>42</v>
      </c>
      <c r="E450" s="1" t="s">
        <v>48</v>
      </c>
      <c r="F450">
        <v>2628</v>
      </c>
      <c r="G450">
        <v>120</v>
      </c>
      <c r="H450">
        <v>15</v>
      </c>
      <c r="I450">
        <v>3547.8</v>
      </c>
      <c r="J450">
        <v>26280</v>
      </c>
      <c r="K450" s="2">
        <v>41730</v>
      </c>
      <c r="L450">
        <v>4</v>
      </c>
      <c r="M450" s="1" t="s">
        <v>44</v>
      </c>
      <c r="N450" s="1" t="s">
        <v>87</v>
      </c>
      <c r="O450">
        <v>2014</v>
      </c>
      <c r="P450">
        <v>39420</v>
      </c>
      <c r="Q450">
        <v>35872.199999999997</v>
      </c>
      <c r="R450">
        <v>9592.1999999999971</v>
      </c>
      <c r="S450" s="22">
        <v>0.26739926739926734</v>
      </c>
      <c r="T450" t="str" cm="1">
        <f t="array" ref="T450">_xlfn.SWITCH(TRUE,data[[#This Row],[Profit Margin]]&lt;0,"Negative",data[[#This Row],[Profit Margin]]&lt;0.1,"Low",data[[#This Row],[Profit Margin]]&lt;0.2,"Medium","High")</f>
        <v>High</v>
      </c>
    </row>
    <row r="451" spans="1:20" x14ac:dyDescent="0.35">
      <c r="A451">
        <v>450</v>
      </c>
      <c r="B451" s="1" t="s">
        <v>18</v>
      </c>
      <c r="C451" s="1" t="s">
        <v>23</v>
      </c>
      <c r="D451" s="1" t="s">
        <v>43</v>
      </c>
      <c r="E451" s="1" t="s">
        <v>48</v>
      </c>
      <c r="F451">
        <v>360</v>
      </c>
      <c r="G451">
        <v>250</v>
      </c>
      <c r="H451">
        <v>7</v>
      </c>
      <c r="I451">
        <v>226.8</v>
      </c>
      <c r="J451">
        <v>1800</v>
      </c>
      <c r="K451" s="2">
        <v>41913</v>
      </c>
      <c r="L451">
        <v>10</v>
      </c>
      <c r="M451" s="1" t="s">
        <v>37</v>
      </c>
      <c r="N451" s="1" t="s">
        <v>84</v>
      </c>
      <c r="O451">
        <v>2014</v>
      </c>
      <c r="P451">
        <v>2520</v>
      </c>
      <c r="Q451">
        <v>2293.1999999999998</v>
      </c>
      <c r="R451">
        <v>493.19999999999982</v>
      </c>
      <c r="S451" s="22">
        <v>0.21507064364207215</v>
      </c>
      <c r="T451" t="str" cm="1">
        <f t="array" ref="T451">_xlfn.SWITCH(TRUE,data[[#This Row],[Profit Margin]]&lt;0,"Negative",data[[#This Row],[Profit Margin]]&lt;0.1,"Low",data[[#This Row],[Profit Margin]]&lt;0.2,"Medium","High")</f>
        <v>High</v>
      </c>
    </row>
    <row r="452" spans="1:20" x14ac:dyDescent="0.35">
      <c r="A452">
        <v>451</v>
      </c>
      <c r="B452" s="1" t="s">
        <v>18</v>
      </c>
      <c r="C452" s="1" t="s">
        <v>25</v>
      </c>
      <c r="D452" s="1" t="s">
        <v>43</v>
      </c>
      <c r="E452" s="1" t="s">
        <v>48</v>
      </c>
      <c r="F452">
        <v>2682</v>
      </c>
      <c r="G452">
        <v>250</v>
      </c>
      <c r="H452">
        <v>20</v>
      </c>
      <c r="I452">
        <v>4827.6000000000004</v>
      </c>
      <c r="J452">
        <v>26820</v>
      </c>
      <c r="K452" s="2">
        <v>41579</v>
      </c>
      <c r="L452">
        <v>11</v>
      </c>
      <c r="M452" s="1" t="s">
        <v>41</v>
      </c>
      <c r="N452" s="1" t="s">
        <v>86</v>
      </c>
      <c r="O452">
        <v>2013</v>
      </c>
      <c r="P452">
        <v>53640</v>
      </c>
      <c r="Q452">
        <v>48812.4</v>
      </c>
      <c r="R452">
        <v>21992.400000000001</v>
      </c>
      <c r="S452" s="22">
        <v>0.45054945054945056</v>
      </c>
      <c r="T452" t="str" cm="1">
        <f t="array" ref="T452">_xlfn.SWITCH(TRUE,data[[#This Row],[Profit Margin]]&lt;0,"Negative",data[[#This Row],[Profit Margin]]&lt;0.1,"Low",data[[#This Row],[Profit Margin]]&lt;0.2,"Medium","High")</f>
        <v>High</v>
      </c>
    </row>
    <row r="453" spans="1:20" x14ac:dyDescent="0.35">
      <c r="A453">
        <v>452</v>
      </c>
      <c r="B453" s="1" t="s">
        <v>18</v>
      </c>
      <c r="C453" s="1" t="s">
        <v>27</v>
      </c>
      <c r="D453" s="1" t="s">
        <v>43</v>
      </c>
      <c r="E453" s="1" t="s">
        <v>48</v>
      </c>
      <c r="F453">
        <v>521</v>
      </c>
      <c r="G453">
        <v>250</v>
      </c>
      <c r="H453">
        <v>7</v>
      </c>
      <c r="I453">
        <v>328.23</v>
      </c>
      <c r="J453">
        <v>2605</v>
      </c>
      <c r="K453" s="2">
        <v>41974</v>
      </c>
      <c r="L453">
        <v>12</v>
      </c>
      <c r="M453" s="1" t="s">
        <v>28</v>
      </c>
      <c r="N453" s="1" t="s">
        <v>79</v>
      </c>
      <c r="O453">
        <v>2014</v>
      </c>
      <c r="P453">
        <v>3647</v>
      </c>
      <c r="Q453">
        <v>3318.77</v>
      </c>
      <c r="R453">
        <v>713.77</v>
      </c>
      <c r="S453" s="22">
        <v>0.21507064364207221</v>
      </c>
      <c r="T453" t="str" cm="1">
        <f t="array" ref="T453">_xlfn.SWITCH(TRUE,data[[#This Row],[Profit Margin]]&lt;0,"Negative",data[[#This Row],[Profit Margin]]&lt;0.1,"Low",data[[#This Row],[Profit Margin]]&lt;0.2,"Medium","High")</f>
        <v>High</v>
      </c>
    </row>
    <row r="454" spans="1:20" x14ac:dyDescent="0.35">
      <c r="A454">
        <v>453</v>
      </c>
      <c r="B454" s="1" t="s">
        <v>18</v>
      </c>
      <c r="C454" s="1" t="s">
        <v>27</v>
      </c>
      <c r="D454" s="1" t="s">
        <v>45</v>
      </c>
      <c r="E454" s="1" t="s">
        <v>48</v>
      </c>
      <c r="F454">
        <v>1038</v>
      </c>
      <c r="G454">
        <v>260</v>
      </c>
      <c r="H454">
        <v>20</v>
      </c>
      <c r="I454">
        <v>1868.4</v>
      </c>
      <c r="J454">
        <v>10380</v>
      </c>
      <c r="K454" s="2">
        <v>41791</v>
      </c>
      <c r="L454">
        <v>6</v>
      </c>
      <c r="M454" s="1" t="s">
        <v>26</v>
      </c>
      <c r="N454" s="1" t="s">
        <v>78</v>
      </c>
      <c r="O454">
        <v>2014</v>
      </c>
      <c r="P454">
        <v>20760</v>
      </c>
      <c r="Q454">
        <v>18891.599999999999</v>
      </c>
      <c r="R454">
        <v>8511.5999999999985</v>
      </c>
      <c r="S454" s="22">
        <v>0.4505494505494505</v>
      </c>
      <c r="T454" t="str" cm="1">
        <f t="array" ref="T454">_xlfn.SWITCH(TRUE,data[[#This Row],[Profit Margin]]&lt;0,"Negative",data[[#This Row],[Profit Margin]]&lt;0.1,"Low",data[[#This Row],[Profit Margin]]&lt;0.2,"Medium","High")</f>
        <v>High</v>
      </c>
    </row>
    <row r="455" spans="1:20" x14ac:dyDescent="0.35">
      <c r="A455">
        <v>454</v>
      </c>
      <c r="B455" s="1" t="s">
        <v>24</v>
      </c>
      <c r="C455" s="1" t="s">
        <v>19</v>
      </c>
      <c r="D455" s="1" t="s">
        <v>45</v>
      </c>
      <c r="E455" s="1" t="s">
        <v>48</v>
      </c>
      <c r="F455">
        <v>1630.5</v>
      </c>
      <c r="G455">
        <v>260</v>
      </c>
      <c r="H455">
        <v>15</v>
      </c>
      <c r="I455">
        <v>2201.1750000000002</v>
      </c>
      <c r="J455">
        <v>16305</v>
      </c>
      <c r="K455" s="2">
        <v>41821</v>
      </c>
      <c r="L455">
        <v>7</v>
      </c>
      <c r="M455" s="1" t="s">
        <v>33</v>
      </c>
      <c r="N455" s="1" t="s">
        <v>81</v>
      </c>
      <c r="O455">
        <v>2014</v>
      </c>
      <c r="P455">
        <v>24457.5</v>
      </c>
      <c r="Q455">
        <v>22256.325000000001</v>
      </c>
      <c r="R455">
        <v>5951.3250000000007</v>
      </c>
      <c r="S455" s="22">
        <v>0.26739926739926745</v>
      </c>
      <c r="T455" t="str" cm="1">
        <f t="array" ref="T455">_xlfn.SWITCH(TRUE,data[[#This Row],[Profit Margin]]&lt;0,"Negative",data[[#This Row],[Profit Margin]]&lt;0.1,"Low",data[[#This Row],[Profit Margin]]&lt;0.2,"Medium","High")</f>
        <v>High</v>
      </c>
    </row>
    <row r="456" spans="1:20" x14ac:dyDescent="0.35">
      <c r="A456">
        <v>455</v>
      </c>
      <c r="B456" s="1" t="s">
        <v>31</v>
      </c>
      <c r="C456" s="1" t="s">
        <v>25</v>
      </c>
      <c r="D456" s="1" t="s">
        <v>45</v>
      </c>
      <c r="E456" s="1" t="s">
        <v>48</v>
      </c>
      <c r="F456">
        <v>306</v>
      </c>
      <c r="G456">
        <v>260</v>
      </c>
      <c r="H456">
        <v>12</v>
      </c>
      <c r="I456">
        <v>330.48</v>
      </c>
      <c r="J456">
        <v>918</v>
      </c>
      <c r="K456" s="2">
        <v>41609</v>
      </c>
      <c r="L456">
        <v>12</v>
      </c>
      <c r="M456" s="1" t="s">
        <v>28</v>
      </c>
      <c r="N456" s="1" t="s">
        <v>79</v>
      </c>
      <c r="O456">
        <v>2013</v>
      </c>
      <c r="P456">
        <v>3672</v>
      </c>
      <c r="Q456">
        <v>3341.52</v>
      </c>
      <c r="R456">
        <v>2423.52</v>
      </c>
      <c r="S456" s="22">
        <v>0.72527472527472525</v>
      </c>
      <c r="T456" t="str" cm="1">
        <f t="array" ref="T456">_xlfn.SWITCH(TRUE,data[[#This Row],[Profit Margin]]&lt;0,"Negative",data[[#This Row],[Profit Margin]]&lt;0.1,"Low",data[[#This Row],[Profit Margin]]&lt;0.2,"Medium","High")</f>
        <v>High</v>
      </c>
    </row>
    <row r="457" spans="1:20" x14ac:dyDescent="0.35">
      <c r="A457">
        <v>456</v>
      </c>
      <c r="B457" s="1" t="s">
        <v>31</v>
      </c>
      <c r="C457" s="1" t="s">
        <v>38</v>
      </c>
      <c r="D457" s="1" t="s">
        <v>20</v>
      </c>
      <c r="E457" s="1" t="s">
        <v>49</v>
      </c>
      <c r="F457">
        <v>386</v>
      </c>
      <c r="G457">
        <v>3</v>
      </c>
      <c r="H457">
        <v>12</v>
      </c>
      <c r="I457">
        <v>463.2</v>
      </c>
      <c r="J457">
        <v>1158</v>
      </c>
      <c r="K457" s="2">
        <v>41548</v>
      </c>
      <c r="L457">
        <v>10</v>
      </c>
      <c r="M457" s="1" t="s">
        <v>37</v>
      </c>
      <c r="N457" s="1" t="s">
        <v>84</v>
      </c>
      <c r="O457">
        <v>2013</v>
      </c>
      <c r="P457">
        <v>4632</v>
      </c>
      <c r="Q457">
        <v>4168.8</v>
      </c>
      <c r="R457">
        <v>3010.8</v>
      </c>
      <c r="S457" s="22">
        <v>0.72222222222222221</v>
      </c>
      <c r="T457" t="str" cm="1">
        <f t="array" ref="T457">_xlfn.SWITCH(TRUE,data[[#This Row],[Profit Margin]]&lt;0,"Negative",data[[#This Row],[Profit Margin]]&lt;0.1,"Low",data[[#This Row],[Profit Margin]]&lt;0.2,"Medium","High")</f>
        <v>High</v>
      </c>
    </row>
    <row r="458" spans="1:20" x14ac:dyDescent="0.35">
      <c r="A458">
        <v>457</v>
      </c>
      <c r="B458" s="1" t="s">
        <v>18</v>
      </c>
      <c r="C458" s="1" t="s">
        <v>38</v>
      </c>
      <c r="D458" s="1" t="s">
        <v>29</v>
      </c>
      <c r="E458" s="1" t="s">
        <v>49</v>
      </c>
      <c r="F458">
        <v>2328</v>
      </c>
      <c r="G458">
        <v>5</v>
      </c>
      <c r="H458">
        <v>7</v>
      </c>
      <c r="I458">
        <v>1629.6</v>
      </c>
      <c r="J458">
        <v>11640</v>
      </c>
      <c r="K458" s="2">
        <v>41883</v>
      </c>
      <c r="L458">
        <v>9</v>
      </c>
      <c r="M458" s="1" t="s">
        <v>36</v>
      </c>
      <c r="N458" s="1" t="s">
        <v>83</v>
      </c>
      <c r="O458">
        <v>2014</v>
      </c>
      <c r="P458">
        <v>16296</v>
      </c>
      <c r="Q458">
        <v>14666.4</v>
      </c>
      <c r="R458">
        <v>3026.3999999999996</v>
      </c>
      <c r="S458" s="22">
        <v>0.20634920634920634</v>
      </c>
      <c r="T458" t="str" cm="1">
        <f t="array" ref="T458">_xlfn.SWITCH(TRUE,data[[#This Row],[Profit Margin]]&lt;0,"Negative",data[[#This Row],[Profit Margin]]&lt;0.1,"Low",data[[#This Row],[Profit Margin]]&lt;0.2,"Medium","High")</f>
        <v>High</v>
      </c>
    </row>
    <row r="459" spans="1:20" x14ac:dyDescent="0.35">
      <c r="A459">
        <v>458</v>
      </c>
      <c r="B459" s="1" t="s">
        <v>31</v>
      </c>
      <c r="C459" s="1" t="s">
        <v>38</v>
      </c>
      <c r="D459" s="1" t="s">
        <v>39</v>
      </c>
      <c r="E459" s="1" t="s">
        <v>49</v>
      </c>
      <c r="F459">
        <v>386</v>
      </c>
      <c r="G459">
        <v>10</v>
      </c>
      <c r="H459">
        <v>12</v>
      </c>
      <c r="I459">
        <v>463.2</v>
      </c>
      <c r="J459">
        <v>1158</v>
      </c>
      <c r="K459" s="2">
        <v>41548</v>
      </c>
      <c r="L459">
        <v>10</v>
      </c>
      <c r="M459" s="1" t="s">
        <v>37</v>
      </c>
      <c r="N459" s="1" t="s">
        <v>84</v>
      </c>
      <c r="O459">
        <v>2013</v>
      </c>
      <c r="P459">
        <v>4632</v>
      </c>
      <c r="Q459">
        <v>4168.8</v>
      </c>
      <c r="R459">
        <v>3010.8</v>
      </c>
      <c r="S459" s="22">
        <v>0.72222222222222221</v>
      </c>
      <c r="T459" t="str" cm="1">
        <f t="array" ref="T459">_xlfn.SWITCH(TRUE,data[[#This Row],[Profit Margin]]&lt;0,"Negative",data[[#This Row],[Profit Margin]]&lt;0.1,"Low",data[[#This Row],[Profit Margin]]&lt;0.2,"Medium","High")</f>
        <v>High</v>
      </c>
    </row>
    <row r="460" spans="1:20" x14ac:dyDescent="0.35">
      <c r="A460">
        <v>459</v>
      </c>
      <c r="B460" s="1" t="s">
        <v>32</v>
      </c>
      <c r="C460" s="1" t="s">
        <v>38</v>
      </c>
      <c r="D460" s="1" t="s">
        <v>20</v>
      </c>
      <c r="E460" s="1" t="s">
        <v>49</v>
      </c>
      <c r="F460">
        <v>3445.5</v>
      </c>
      <c r="G460">
        <v>3</v>
      </c>
      <c r="H460">
        <v>125</v>
      </c>
      <c r="I460">
        <v>43068.75</v>
      </c>
      <c r="J460">
        <v>413460</v>
      </c>
      <c r="K460" s="2">
        <v>41730</v>
      </c>
      <c r="L460">
        <v>4</v>
      </c>
      <c r="M460" s="1" t="s">
        <v>44</v>
      </c>
      <c r="N460" s="1" t="s">
        <v>87</v>
      </c>
      <c r="O460">
        <v>2014</v>
      </c>
      <c r="P460">
        <v>430687.5</v>
      </c>
      <c r="Q460">
        <v>387618.75</v>
      </c>
      <c r="R460">
        <v>-25841.25</v>
      </c>
      <c r="S460" s="22">
        <v>-6.6666666666666666E-2</v>
      </c>
      <c r="T460" t="str" cm="1">
        <f t="array" ref="T460">_xlfn.SWITCH(TRUE,data[[#This Row],[Profit Margin]]&lt;0,"Negative",data[[#This Row],[Profit Margin]]&lt;0.1,"Low",data[[#This Row],[Profit Margin]]&lt;0.2,"Medium","High")</f>
        <v>Negative</v>
      </c>
    </row>
    <row r="461" spans="1:20" x14ac:dyDescent="0.35">
      <c r="A461">
        <v>460</v>
      </c>
      <c r="B461" s="1" t="s">
        <v>32</v>
      </c>
      <c r="C461" s="1" t="s">
        <v>25</v>
      </c>
      <c r="D461" s="1" t="s">
        <v>20</v>
      </c>
      <c r="E461" s="1" t="s">
        <v>49</v>
      </c>
      <c r="F461">
        <v>1482</v>
      </c>
      <c r="G461">
        <v>3</v>
      </c>
      <c r="H461">
        <v>125</v>
      </c>
      <c r="I461">
        <v>18525</v>
      </c>
      <c r="J461">
        <v>177840</v>
      </c>
      <c r="K461" s="2">
        <v>41609</v>
      </c>
      <c r="L461">
        <v>12</v>
      </c>
      <c r="M461" s="1" t="s">
        <v>28</v>
      </c>
      <c r="N461" s="1" t="s">
        <v>79</v>
      </c>
      <c r="O461">
        <v>2013</v>
      </c>
      <c r="P461">
        <v>185250</v>
      </c>
      <c r="Q461">
        <v>166725</v>
      </c>
      <c r="R461">
        <v>-11115</v>
      </c>
      <c r="S461" s="22">
        <v>-6.6666666666666666E-2</v>
      </c>
      <c r="T461" t="str" cm="1">
        <f t="array" ref="T461">_xlfn.SWITCH(TRUE,data[[#This Row],[Profit Margin]]&lt;0,"Negative",data[[#This Row],[Profit Margin]]&lt;0.1,"Low",data[[#This Row],[Profit Margin]]&lt;0.2,"Medium","High")</f>
        <v>Negative</v>
      </c>
    </row>
    <row r="462" spans="1:20" x14ac:dyDescent="0.35">
      <c r="A462">
        <v>461</v>
      </c>
      <c r="B462" s="1" t="s">
        <v>18</v>
      </c>
      <c r="C462" s="1" t="s">
        <v>38</v>
      </c>
      <c r="D462" s="1" t="s">
        <v>29</v>
      </c>
      <c r="E462" s="1" t="s">
        <v>49</v>
      </c>
      <c r="F462">
        <v>2313</v>
      </c>
      <c r="G462">
        <v>5</v>
      </c>
      <c r="H462">
        <v>350</v>
      </c>
      <c r="I462">
        <v>80955</v>
      </c>
      <c r="J462">
        <v>601380</v>
      </c>
      <c r="K462" s="2">
        <v>41760</v>
      </c>
      <c r="L462">
        <v>5</v>
      </c>
      <c r="M462" s="1" t="s">
        <v>47</v>
      </c>
      <c r="N462" s="1" t="s">
        <v>47</v>
      </c>
      <c r="O462">
        <v>2014</v>
      </c>
      <c r="P462">
        <v>809550</v>
      </c>
      <c r="Q462">
        <v>728595</v>
      </c>
      <c r="R462">
        <v>127215</v>
      </c>
      <c r="S462" s="22">
        <v>0.17460317460317459</v>
      </c>
      <c r="T462" t="str" cm="1">
        <f t="array" ref="T462">_xlfn.SWITCH(TRUE,data[[#This Row],[Profit Margin]]&lt;0,"Negative",data[[#This Row],[Profit Margin]]&lt;0.1,"Low",data[[#This Row],[Profit Margin]]&lt;0.2,"Medium","High")</f>
        <v>Medium</v>
      </c>
    </row>
    <row r="463" spans="1:20" x14ac:dyDescent="0.35">
      <c r="A463">
        <v>462</v>
      </c>
      <c r="B463" s="1" t="s">
        <v>32</v>
      </c>
      <c r="C463" s="1" t="s">
        <v>38</v>
      </c>
      <c r="D463" s="1" t="s">
        <v>29</v>
      </c>
      <c r="E463" s="1" t="s">
        <v>49</v>
      </c>
      <c r="F463">
        <v>1804</v>
      </c>
      <c r="G463">
        <v>5</v>
      </c>
      <c r="H463">
        <v>125</v>
      </c>
      <c r="I463">
        <v>22550</v>
      </c>
      <c r="J463">
        <v>216480</v>
      </c>
      <c r="K463" s="2">
        <v>41579</v>
      </c>
      <c r="L463">
        <v>11</v>
      </c>
      <c r="M463" s="1" t="s">
        <v>41</v>
      </c>
      <c r="N463" s="1" t="s">
        <v>86</v>
      </c>
      <c r="O463">
        <v>2013</v>
      </c>
      <c r="P463">
        <v>225500</v>
      </c>
      <c r="Q463">
        <v>202950</v>
      </c>
      <c r="R463">
        <v>-13530</v>
      </c>
      <c r="S463" s="22">
        <v>-6.6666666666666666E-2</v>
      </c>
      <c r="T463" t="str" cm="1">
        <f t="array" ref="T463">_xlfn.SWITCH(TRUE,data[[#This Row],[Profit Margin]]&lt;0,"Negative",data[[#This Row],[Profit Margin]]&lt;0.1,"Low",data[[#This Row],[Profit Margin]]&lt;0.2,"Medium","High")</f>
        <v>Negative</v>
      </c>
    </row>
    <row r="464" spans="1:20" x14ac:dyDescent="0.35">
      <c r="A464">
        <v>463</v>
      </c>
      <c r="B464" s="1" t="s">
        <v>24</v>
      </c>
      <c r="C464" s="1" t="s">
        <v>25</v>
      </c>
      <c r="D464" s="1" t="s">
        <v>29</v>
      </c>
      <c r="E464" s="1" t="s">
        <v>49</v>
      </c>
      <c r="F464">
        <v>2072</v>
      </c>
      <c r="G464">
        <v>5</v>
      </c>
      <c r="H464">
        <v>15</v>
      </c>
      <c r="I464">
        <v>3108</v>
      </c>
      <c r="J464">
        <v>20720</v>
      </c>
      <c r="K464" s="2">
        <v>41974</v>
      </c>
      <c r="L464">
        <v>12</v>
      </c>
      <c r="M464" s="1" t="s">
        <v>28</v>
      </c>
      <c r="N464" s="1" t="s">
        <v>79</v>
      </c>
      <c r="O464">
        <v>2014</v>
      </c>
      <c r="P464">
        <v>31080</v>
      </c>
      <c r="Q464">
        <v>27972</v>
      </c>
      <c r="R464">
        <v>7252</v>
      </c>
      <c r="S464" s="22">
        <v>0.25925925925925924</v>
      </c>
      <c r="T464" t="str" cm="1">
        <f t="array" ref="T464">_xlfn.SWITCH(TRUE,data[[#This Row],[Profit Margin]]&lt;0,"Negative",data[[#This Row],[Profit Margin]]&lt;0.1,"Low",data[[#This Row],[Profit Margin]]&lt;0.2,"Medium","High")</f>
        <v>High</v>
      </c>
    </row>
    <row r="465" spans="1:20" x14ac:dyDescent="0.35">
      <c r="A465">
        <v>464</v>
      </c>
      <c r="B465" s="1" t="s">
        <v>18</v>
      </c>
      <c r="C465" s="1" t="s">
        <v>25</v>
      </c>
      <c r="D465" s="1" t="s">
        <v>39</v>
      </c>
      <c r="E465" s="1" t="s">
        <v>49</v>
      </c>
      <c r="F465">
        <v>1954</v>
      </c>
      <c r="G465">
        <v>10</v>
      </c>
      <c r="H465">
        <v>20</v>
      </c>
      <c r="I465">
        <v>3908</v>
      </c>
      <c r="J465">
        <v>19540</v>
      </c>
      <c r="K465" s="2">
        <v>41699</v>
      </c>
      <c r="L465">
        <v>3</v>
      </c>
      <c r="M465" s="1" t="s">
        <v>30</v>
      </c>
      <c r="N465" s="1" t="s">
        <v>80</v>
      </c>
      <c r="O465">
        <v>2014</v>
      </c>
      <c r="P465">
        <v>39080</v>
      </c>
      <c r="Q465">
        <v>35172</v>
      </c>
      <c r="R465">
        <v>15632</v>
      </c>
      <c r="S465" s="22">
        <v>0.44444444444444442</v>
      </c>
      <c r="T465" t="str" cm="1">
        <f t="array" ref="T465">_xlfn.SWITCH(TRUE,data[[#This Row],[Profit Margin]]&lt;0,"Negative",data[[#This Row],[Profit Margin]]&lt;0.1,"Low",data[[#This Row],[Profit Margin]]&lt;0.2,"Medium","High")</f>
        <v>High</v>
      </c>
    </row>
    <row r="466" spans="1:20" x14ac:dyDescent="0.35">
      <c r="A466">
        <v>465</v>
      </c>
      <c r="B466" s="1" t="s">
        <v>34</v>
      </c>
      <c r="C466" s="1" t="s">
        <v>27</v>
      </c>
      <c r="D466" s="1" t="s">
        <v>39</v>
      </c>
      <c r="E466" s="1" t="s">
        <v>49</v>
      </c>
      <c r="F466">
        <v>591</v>
      </c>
      <c r="G466">
        <v>10</v>
      </c>
      <c r="H466">
        <v>300</v>
      </c>
      <c r="I466">
        <v>17730</v>
      </c>
      <c r="J466">
        <v>147750</v>
      </c>
      <c r="K466" s="2">
        <v>41760</v>
      </c>
      <c r="L466">
        <v>5</v>
      </c>
      <c r="M466" s="1" t="s">
        <v>47</v>
      </c>
      <c r="N466" s="1" t="s">
        <v>47</v>
      </c>
      <c r="O466">
        <v>2014</v>
      </c>
      <c r="P466">
        <v>177300</v>
      </c>
      <c r="Q466">
        <v>159570</v>
      </c>
      <c r="R466">
        <v>11820</v>
      </c>
      <c r="S466" s="22">
        <v>7.407407407407407E-2</v>
      </c>
      <c r="T466" t="str" cm="1">
        <f t="array" ref="T466">_xlfn.SWITCH(TRUE,data[[#This Row],[Profit Margin]]&lt;0,"Negative",data[[#This Row],[Profit Margin]]&lt;0.1,"Low",data[[#This Row],[Profit Margin]]&lt;0.2,"Medium","High")</f>
        <v>Low</v>
      </c>
    </row>
    <row r="467" spans="1:20" x14ac:dyDescent="0.35">
      <c r="A467">
        <v>466</v>
      </c>
      <c r="B467" s="1" t="s">
        <v>24</v>
      </c>
      <c r="C467" s="1" t="s">
        <v>25</v>
      </c>
      <c r="D467" s="1" t="s">
        <v>39</v>
      </c>
      <c r="E467" s="1" t="s">
        <v>49</v>
      </c>
      <c r="F467">
        <v>2167</v>
      </c>
      <c r="G467">
        <v>10</v>
      </c>
      <c r="H467">
        <v>15</v>
      </c>
      <c r="I467">
        <v>3250.5</v>
      </c>
      <c r="J467">
        <v>21670</v>
      </c>
      <c r="K467" s="2">
        <v>41548</v>
      </c>
      <c r="L467">
        <v>10</v>
      </c>
      <c r="M467" s="1" t="s">
        <v>37</v>
      </c>
      <c r="N467" s="1" t="s">
        <v>84</v>
      </c>
      <c r="O467">
        <v>2013</v>
      </c>
      <c r="P467">
        <v>32505</v>
      </c>
      <c r="Q467">
        <v>29254.5</v>
      </c>
      <c r="R467">
        <v>7584.5</v>
      </c>
      <c r="S467" s="22">
        <v>0.25925925925925924</v>
      </c>
      <c r="T467" t="str" cm="1">
        <f t="array" ref="T467">_xlfn.SWITCH(TRUE,data[[#This Row],[Profit Margin]]&lt;0,"Negative",data[[#This Row],[Profit Margin]]&lt;0.1,"Low",data[[#This Row],[Profit Margin]]&lt;0.2,"Medium","High")</f>
        <v>High</v>
      </c>
    </row>
    <row r="468" spans="1:20" x14ac:dyDescent="0.35">
      <c r="A468">
        <v>467</v>
      </c>
      <c r="B468" s="1" t="s">
        <v>18</v>
      </c>
      <c r="C468" s="1" t="s">
        <v>23</v>
      </c>
      <c r="D468" s="1" t="s">
        <v>39</v>
      </c>
      <c r="E468" s="1" t="s">
        <v>49</v>
      </c>
      <c r="F468">
        <v>241</v>
      </c>
      <c r="G468">
        <v>10</v>
      </c>
      <c r="H468">
        <v>20</v>
      </c>
      <c r="I468">
        <v>482</v>
      </c>
      <c r="J468">
        <v>2410</v>
      </c>
      <c r="K468" s="2">
        <v>41913</v>
      </c>
      <c r="L468">
        <v>10</v>
      </c>
      <c r="M468" s="1" t="s">
        <v>37</v>
      </c>
      <c r="N468" s="1" t="s">
        <v>84</v>
      </c>
      <c r="O468">
        <v>2014</v>
      </c>
      <c r="P468">
        <v>4820</v>
      </c>
      <c r="Q468">
        <v>4338</v>
      </c>
      <c r="R468">
        <v>1928</v>
      </c>
      <c r="S468" s="22">
        <v>0.44444444444444442</v>
      </c>
      <c r="T468" t="str" cm="1">
        <f t="array" ref="T468">_xlfn.SWITCH(TRUE,data[[#This Row],[Profit Margin]]&lt;0,"Negative",data[[#This Row],[Profit Margin]]&lt;0.1,"Low",data[[#This Row],[Profit Margin]]&lt;0.2,"Medium","High")</f>
        <v>High</v>
      </c>
    </row>
    <row r="469" spans="1:20" x14ac:dyDescent="0.35">
      <c r="A469">
        <v>468</v>
      </c>
      <c r="B469" s="1" t="s">
        <v>24</v>
      </c>
      <c r="C469" s="1" t="s">
        <v>23</v>
      </c>
      <c r="D469" s="1" t="s">
        <v>42</v>
      </c>
      <c r="E469" s="1" t="s">
        <v>49</v>
      </c>
      <c r="F469">
        <v>681</v>
      </c>
      <c r="G469">
        <v>120</v>
      </c>
      <c r="H469">
        <v>15</v>
      </c>
      <c r="I469">
        <v>1021.5</v>
      </c>
      <c r="J469">
        <v>6810</v>
      </c>
      <c r="K469" s="2">
        <v>41640</v>
      </c>
      <c r="L469">
        <v>1</v>
      </c>
      <c r="M469" s="1" t="s">
        <v>22</v>
      </c>
      <c r="N469" s="1" t="s">
        <v>77</v>
      </c>
      <c r="O469">
        <v>2014</v>
      </c>
      <c r="P469">
        <v>10215</v>
      </c>
      <c r="Q469">
        <v>9193.5</v>
      </c>
      <c r="R469">
        <v>2383.5</v>
      </c>
      <c r="S469" s="22">
        <v>0.25925925925925924</v>
      </c>
      <c r="T469" t="str" cm="1">
        <f t="array" ref="T469">_xlfn.SWITCH(TRUE,data[[#This Row],[Profit Margin]]&lt;0,"Negative",data[[#This Row],[Profit Margin]]&lt;0.1,"Low",data[[#This Row],[Profit Margin]]&lt;0.2,"Medium","High")</f>
        <v>High</v>
      </c>
    </row>
    <row r="470" spans="1:20" x14ac:dyDescent="0.35">
      <c r="A470">
        <v>469</v>
      </c>
      <c r="B470" s="1" t="s">
        <v>24</v>
      </c>
      <c r="C470" s="1" t="s">
        <v>23</v>
      </c>
      <c r="D470" s="1" t="s">
        <v>42</v>
      </c>
      <c r="E470" s="1" t="s">
        <v>49</v>
      </c>
      <c r="F470">
        <v>510</v>
      </c>
      <c r="G470">
        <v>120</v>
      </c>
      <c r="H470">
        <v>15</v>
      </c>
      <c r="I470">
        <v>765</v>
      </c>
      <c r="J470">
        <v>5100</v>
      </c>
      <c r="K470" s="2">
        <v>41730</v>
      </c>
      <c r="L470">
        <v>4</v>
      </c>
      <c r="M470" s="1" t="s">
        <v>44</v>
      </c>
      <c r="N470" s="1" t="s">
        <v>87</v>
      </c>
      <c r="O470">
        <v>2014</v>
      </c>
      <c r="P470">
        <v>7650</v>
      </c>
      <c r="Q470">
        <v>6885</v>
      </c>
      <c r="R470">
        <v>1785</v>
      </c>
      <c r="S470" s="22">
        <v>0.25925925925925924</v>
      </c>
      <c r="T470" t="str" cm="1">
        <f t="array" ref="T470">_xlfn.SWITCH(TRUE,data[[#This Row],[Profit Margin]]&lt;0,"Negative",data[[#This Row],[Profit Margin]]&lt;0.1,"Low",data[[#This Row],[Profit Margin]]&lt;0.2,"Medium","High")</f>
        <v>High</v>
      </c>
    </row>
    <row r="471" spans="1:20" x14ac:dyDescent="0.35">
      <c r="A471">
        <v>470</v>
      </c>
      <c r="B471" s="1" t="s">
        <v>24</v>
      </c>
      <c r="C471" s="1" t="s">
        <v>38</v>
      </c>
      <c r="D471" s="1" t="s">
        <v>42</v>
      </c>
      <c r="E471" s="1" t="s">
        <v>49</v>
      </c>
      <c r="F471">
        <v>790</v>
      </c>
      <c r="G471">
        <v>120</v>
      </c>
      <c r="H471">
        <v>15</v>
      </c>
      <c r="I471">
        <v>1185</v>
      </c>
      <c r="J471">
        <v>7900</v>
      </c>
      <c r="K471" s="2">
        <v>41760</v>
      </c>
      <c r="L471">
        <v>5</v>
      </c>
      <c r="M471" s="1" t="s">
        <v>47</v>
      </c>
      <c r="N471" s="1" t="s">
        <v>47</v>
      </c>
      <c r="O471">
        <v>2014</v>
      </c>
      <c r="P471">
        <v>11850</v>
      </c>
      <c r="Q471">
        <v>10665</v>
      </c>
      <c r="R471">
        <v>2765</v>
      </c>
      <c r="S471" s="22">
        <v>0.25925925925925924</v>
      </c>
      <c r="T471" t="str" cm="1">
        <f t="array" ref="T471">_xlfn.SWITCH(TRUE,data[[#This Row],[Profit Margin]]&lt;0,"Negative",data[[#This Row],[Profit Margin]]&lt;0.1,"Low",data[[#This Row],[Profit Margin]]&lt;0.2,"Medium","High")</f>
        <v>High</v>
      </c>
    </row>
    <row r="472" spans="1:20" x14ac:dyDescent="0.35">
      <c r="A472">
        <v>471</v>
      </c>
      <c r="B472" s="1" t="s">
        <v>18</v>
      </c>
      <c r="C472" s="1" t="s">
        <v>25</v>
      </c>
      <c r="D472" s="1" t="s">
        <v>42</v>
      </c>
      <c r="E472" s="1" t="s">
        <v>49</v>
      </c>
      <c r="F472">
        <v>639</v>
      </c>
      <c r="G472">
        <v>120</v>
      </c>
      <c r="H472">
        <v>350</v>
      </c>
      <c r="I472">
        <v>22365</v>
      </c>
      <c r="J472">
        <v>166140</v>
      </c>
      <c r="K472" s="2">
        <v>41821</v>
      </c>
      <c r="L472">
        <v>7</v>
      </c>
      <c r="M472" s="1" t="s">
        <v>33</v>
      </c>
      <c r="N472" s="1" t="s">
        <v>81</v>
      </c>
      <c r="O472">
        <v>2014</v>
      </c>
      <c r="P472">
        <v>223650</v>
      </c>
      <c r="Q472">
        <v>201285</v>
      </c>
      <c r="R472">
        <v>35145</v>
      </c>
      <c r="S472" s="22">
        <v>0.17460317460317459</v>
      </c>
      <c r="T472" t="str" cm="1">
        <f t="array" ref="T472">_xlfn.SWITCH(TRUE,data[[#This Row],[Profit Margin]]&lt;0,"Negative",data[[#This Row],[Profit Margin]]&lt;0.1,"Low",data[[#This Row],[Profit Margin]]&lt;0.2,"Medium","High")</f>
        <v>Medium</v>
      </c>
    </row>
    <row r="473" spans="1:20" x14ac:dyDescent="0.35">
      <c r="A473">
        <v>472</v>
      </c>
      <c r="B473" s="1" t="s">
        <v>32</v>
      </c>
      <c r="C473" s="1" t="s">
        <v>38</v>
      </c>
      <c r="D473" s="1" t="s">
        <v>42</v>
      </c>
      <c r="E473" s="1" t="s">
        <v>49</v>
      </c>
      <c r="F473">
        <v>1596</v>
      </c>
      <c r="G473">
        <v>120</v>
      </c>
      <c r="H473">
        <v>125</v>
      </c>
      <c r="I473">
        <v>19950</v>
      </c>
      <c r="J473">
        <v>191520</v>
      </c>
      <c r="K473" s="2">
        <v>41883</v>
      </c>
      <c r="L473">
        <v>9</v>
      </c>
      <c r="M473" s="1" t="s">
        <v>36</v>
      </c>
      <c r="N473" s="1" t="s">
        <v>83</v>
      </c>
      <c r="O473">
        <v>2014</v>
      </c>
      <c r="P473">
        <v>199500</v>
      </c>
      <c r="Q473">
        <v>179550</v>
      </c>
      <c r="R473">
        <v>-11970</v>
      </c>
      <c r="S473" s="22">
        <v>-6.6666666666666666E-2</v>
      </c>
      <c r="T473" t="str" cm="1">
        <f t="array" ref="T473">_xlfn.SWITCH(TRUE,data[[#This Row],[Profit Margin]]&lt;0,"Negative",data[[#This Row],[Profit Margin]]&lt;0.1,"Low",data[[#This Row],[Profit Margin]]&lt;0.2,"Medium","High")</f>
        <v>Negative</v>
      </c>
    </row>
    <row r="474" spans="1:20" x14ac:dyDescent="0.35">
      <c r="A474">
        <v>473</v>
      </c>
      <c r="B474" s="1" t="s">
        <v>34</v>
      </c>
      <c r="C474" s="1" t="s">
        <v>38</v>
      </c>
      <c r="D474" s="1" t="s">
        <v>42</v>
      </c>
      <c r="E474" s="1" t="s">
        <v>49</v>
      </c>
      <c r="F474">
        <v>2294</v>
      </c>
      <c r="G474">
        <v>120</v>
      </c>
      <c r="H474">
        <v>300</v>
      </c>
      <c r="I474">
        <v>68820</v>
      </c>
      <c r="J474">
        <v>573500</v>
      </c>
      <c r="K474" s="2">
        <v>41548</v>
      </c>
      <c r="L474">
        <v>10</v>
      </c>
      <c r="M474" s="1" t="s">
        <v>37</v>
      </c>
      <c r="N474" s="1" t="s">
        <v>84</v>
      </c>
      <c r="O474">
        <v>2013</v>
      </c>
      <c r="P474">
        <v>688200</v>
      </c>
      <c r="Q474">
        <v>619380</v>
      </c>
      <c r="R474">
        <v>45880</v>
      </c>
      <c r="S474" s="22">
        <v>7.407407407407407E-2</v>
      </c>
      <c r="T474" t="str" cm="1">
        <f t="array" ref="T474">_xlfn.SWITCH(TRUE,data[[#This Row],[Profit Margin]]&lt;0,"Negative",data[[#This Row],[Profit Margin]]&lt;0.1,"Low",data[[#This Row],[Profit Margin]]&lt;0.2,"Medium","High")</f>
        <v>Low</v>
      </c>
    </row>
    <row r="475" spans="1:20" x14ac:dyDescent="0.35">
      <c r="A475">
        <v>474</v>
      </c>
      <c r="B475" s="1" t="s">
        <v>18</v>
      </c>
      <c r="C475" s="1" t="s">
        <v>23</v>
      </c>
      <c r="D475" s="1" t="s">
        <v>42</v>
      </c>
      <c r="E475" s="1" t="s">
        <v>49</v>
      </c>
      <c r="F475">
        <v>241</v>
      </c>
      <c r="G475">
        <v>120</v>
      </c>
      <c r="H475">
        <v>20</v>
      </c>
      <c r="I475">
        <v>482</v>
      </c>
      <c r="J475">
        <v>2410</v>
      </c>
      <c r="K475" s="2">
        <v>41913</v>
      </c>
      <c r="L475">
        <v>10</v>
      </c>
      <c r="M475" s="1" t="s">
        <v>37</v>
      </c>
      <c r="N475" s="1" t="s">
        <v>84</v>
      </c>
      <c r="O475">
        <v>2014</v>
      </c>
      <c r="P475">
        <v>4820</v>
      </c>
      <c r="Q475">
        <v>4338</v>
      </c>
      <c r="R475">
        <v>1928</v>
      </c>
      <c r="S475" s="22">
        <v>0.44444444444444442</v>
      </c>
      <c r="T475" t="str" cm="1">
        <f t="array" ref="T475">_xlfn.SWITCH(TRUE,data[[#This Row],[Profit Margin]]&lt;0,"Negative",data[[#This Row],[Profit Margin]]&lt;0.1,"Low",data[[#This Row],[Profit Margin]]&lt;0.2,"Medium","High")</f>
        <v>High</v>
      </c>
    </row>
    <row r="476" spans="1:20" x14ac:dyDescent="0.35">
      <c r="A476">
        <v>475</v>
      </c>
      <c r="B476" s="1" t="s">
        <v>18</v>
      </c>
      <c r="C476" s="1" t="s">
        <v>23</v>
      </c>
      <c r="D476" s="1" t="s">
        <v>42</v>
      </c>
      <c r="E476" s="1" t="s">
        <v>49</v>
      </c>
      <c r="F476">
        <v>2665</v>
      </c>
      <c r="G476">
        <v>120</v>
      </c>
      <c r="H476">
        <v>7</v>
      </c>
      <c r="I476">
        <v>1865.5</v>
      </c>
      <c r="J476">
        <v>13325</v>
      </c>
      <c r="K476" s="2">
        <v>41944</v>
      </c>
      <c r="L476">
        <v>11</v>
      </c>
      <c r="M476" s="1" t="s">
        <v>41</v>
      </c>
      <c r="N476" s="1" t="s">
        <v>86</v>
      </c>
      <c r="O476">
        <v>2014</v>
      </c>
      <c r="P476">
        <v>18655</v>
      </c>
      <c r="Q476">
        <v>16789.5</v>
      </c>
      <c r="R476">
        <v>3464.5</v>
      </c>
      <c r="S476" s="22">
        <v>0.20634920634920634</v>
      </c>
      <c r="T476" t="str" cm="1">
        <f t="array" ref="T476">_xlfn.SWITCH(TRUE,data[[#This Row],[Profit Margin]]&lt;0,"Negative",data[[#This Row],[Profit Margin]]&lt;0.1,"Low",data[[#This Row],[Profit Margin]]&lt;0.2,"Medium","High")</f>
        <v>High</v>
      </c>
    </row>
    <row r="477" spans="1:20" x14ac:dyDescent="0.35">
      <c r="A477">
        <v>476</v>
      </c>
      <c r="B477" s="1" t="s">
        <v>32</v>
      </c>
      <c r="C477" s="1" t="s">
        <v>19</v>
      </c>
      <c r="D477" s="1" t="s">
        <v>42</v>
      </c>
      <c r="E477" s="1" t="s">
        <v>49</v>
      </c>
      <c r="F477">
        <v>1916</v>
      </c>
      <c r="G477">
        <v>120</v>
      </c>
      <c r="H477">
        <v>125</v>
      </c>
      <c r="I477">
        <v>23950</v>
      </c>
      <c r="J477">
        <v>229920</v>
      </c>
      <c r="K477" s="2">
        <v>41609</v>
      </c>
      <c r="L477">
        <v>12</v>
      </c>
      <c r="M477" s="1" t="s">
        <v>28</v>
      </c>
      <c r="N477" s="1" t="s">
        <v>79</v>
      </c>
      <c r="O477">
        <v>2013</v>
      </c>
      <c r="P477">
        <v>239500</v>
      </c>
      <c r="Q477">
        <v>215550</v>
      </c>
      <c r="R477">
        <v>-14370</v>
      </c>
      <c r="S477" s="22">
        <v>-6.6666666666666666E-2</v>
      </c>
      <c r="T477" t="str" cm="1">
        <f t="array" ref="T477">_xlfn.SWITCH(TRUE,data[[#This Row],[Profit Margin]]&lt;0,"Negative",data[[#This Row],[Profit Margin]]&lt;0.1,"Low",data[[#This Row],[Profit Margin]]&lt;0.2,"Medium","High")</f>
        <v>Negative</v>
      </c>
    </row>
    <row r="478" spans="1:20" x14ac:dyDescent="0.35">
      <c r="A478">
        <v>477</v>
      </c>
      <c r="B478" s="1" t="s">
        <v>34</v>
      </c>
      <c r="C478" s="1" t="s">
        <v>25</v>
      </c>
      <c r="D478" s="1" t="s">
        <v>42</v>
      </c>
      <c r="E478" s="1" t="s">
        <v>49</v>
      </c>
      <c r="F478">
        <v>853</v>
      </c>
      <c r="G478">
        <v>120</v>
      </c>
      <c r="H478">
        <v>300</v>
      </c>
      <c r="I478">
        <v>25590</v>
      </c>
      <c r="J478">
        <v>213250</v>
      </c>
      <c r="K478" s="2">
        <v>41974</v>
      </c>
      <c r="L478">
        <v>12</v>
      </c>
      <c r="M478" s="1" t="s">
        <v>28</v>
      </c>
      <c r="N478" s="1" t="s">
        <v>79</v>
      </c>
      <c r="O478">
        <v>2014</v>
      </c>
      <c r="P478">
        <v>255900</v>
      </c>
      <c r="Q478">
        <v>230310</v>
      </c>
      <c r="R478">
        <v>17060</v>
      </c>
      <c r="S478" s="22">
        <v>7.407407407407407E-2</v>
      </c>
      <c r="T478" t="str" cm="1">
        <f t="array" ref="T478">_xlfn.SWITCH(TRUE,data[[#This Row],[Profit Margin]]&lt;0,"Negative",data[[#This Row],[Profit Margin]]&lt;0.1,"Low",data[[#This Row],[Profit Margin]]&lt;0.2,"Medium","High")</f>
        <v>Low</v>
      </c>
    </row>
    <row r="479" spans="1:20" x14ac:dyDescent="0.35">
      <c r="A479">
        <v>478</v>
      </c>
      <c r="B479" s="1" t="s">
        <v>32</v>
      </c>
      <c r="C479" s="1" t="s">
        <v>27</v>
      </c>
      <c r="D479" s="1" t="s">
        <v>43</v>
      </c>
      <c r="E479" s="1" t="s">
        <v>49</v>
      </c>
      <c r="F479">
        <v>341</v>
      </c>
      <c r="G479">
        <v>250</v>
      </c>
      <c r="H479">
        <v>125</v>
      </c>
      <c r="I479">
        <v>4262.5</v>
      </c>
      <c r="J479">
        <v>40920</v>
      </c>
      <c r="K479" s="2">
        <v>41760</v>
      </c>
      <c r="L479">
        <v>5</v>
      </c>
      <c r="M479" s="1" t="s">
        <v>47</v>
      </c>
      <c r="N479" s="1" t="s">
        <v>47</v>
      </c>
      <c r="O479">
        <v>2014</v>
      </c>
      <c r="P479">
        <v>42625</v>
      </c>
      <c r="Q479">
        <v>38362.5</v>
      </c>
      <c r="R479">
        <v>-2557.5</v>
      </c>
      <c r="S479" s="22">
        <v>-6.6666666666666666E-2</v>
      </c>
      <c r="T479" t="str" cm="1">
        <f t="array" ref="T479">_xlfn.SWITCH(TRUE,data[[#This Row],[Profit Margin]]&lt;0,"Negative",data[[#This Row],[Profit Margin]]&lt;0.1,"Low",data[[#This Row],[Profit Margin]]&lt;0.2,"Medium","High")</f>
        <v>Negative</v>
      </c>
    </row>
    <row r="480" spans="1:20" x14ac:dyDescent="0.35">
      <c r="A480">
        <v>479</v>
      </c>
      <c r="B480" s="1" t="s">
        <v>24</v>
      </c>
      <c r="C480" s="1" t="s">
        <v>27</v>
      </c>
      <c r="D480" s="1" t="s">
        <v>43</v>
      </c>
      <c r="E480" s="1" t="s">
        <v>49</v>
      </c>
      <c r="F480">
        <v>641</v>
      </c>
      <c r="G480">
        <v>250</v>
      </c>
      <c r="H480">
        <v>15</v>
      </c>
      <c r="I480">
        <v>961.5</v>
      </c>
      <c r="J480">
        <v>6410</v>
      </c>
      <c r="K480" s="2">
        <v>41821</v>
      </c>
      <c r="L480">
        <v>7</v>
      </c>
      <c r="M480" s="1" t="s">
        <v>33</v>
      </c>
      <c r="N480" s="1" t="s">
        <v>81</v>
      </c>
      <c r="O480">
        <v>2014</v>
      </c>
      <c r="P480">
        <v>9615</v>
      </c>
      <c r="Q480">
        <v>8653.5</v>
      </c>
      <c r="R480">
        <v>2243.5</v>
      </c>
      <c r="S480" s="22">
        <v>0.25925925925925924</v>
      </c>
      <c r="T480" t="str" cm="1">
        <f t="array" ref="T480">_xlfn.SWITCH(TRUE,data[[#This Row],[Profit Margin]]&lt;0,"Negative",data[[#This Row],[Profit Margin]]&lt;0.1,"Low",data[[#This Row],[Profit Margin]]&lt;0.2,"Medium","High")</f>
        <v>High</v>
      </c>
    </row>
    <row r="481" spans="1:20" x14ac:dyDescent="0.35">
      <c r="A481">
        <v>480</v>
      </c>
      <c r="B481" s="1" t="s">
        <v>18</v>
      </c>
      <c r="C481" s="1" t="s">
        <v>38</v>
      </c>
      <c r="D481" s="1" t="s">
        <v>43</v>
      </c>
      <c r="E481" s="1" t="s">
        <v>49</v>
      </c>
      <c r="F481">
        <v>2807</v>
      </c>
      <c r="G481">
        <v>250</v>
      </c>
      <c r="H481">
        <v>350</v>
      </c>
      <c r="I481">
        <v>98245</v>
      </c>
      <c r="J481">
        <v>729820</v>
      </c>
      <c r="K481" s="2">
        <v>41852</v>
      </c>
      <c r="L481">
        <v>8</v>
      </c>
      <c r="M481" s="1" t="s">
        <v>35</v>
      </c>
      <c r="N481" s="1" t="s">
        <v>82</v>
      </c>
      <c r="O481">
        <v>2014</v>
      </c>
      <c r="P481">
        <v>982450</v>
      </c>
      <c r="Q481">
        <v>884205</v>
      </c>
      <c r="R481">
        <v>154385</v>
      </c>
      <c r="S481" s="22">
        <v>0.17460317460317459</v>
      </c>
      <c r="T481" t="str" cm="1">
        <f t="array" ref="T481">_xlfn.SWITCH(TRUE,data[[#This Row],[Profit Margin]]&lt;0,"Negative",data[[#This Row],[Profit Margin]]&lt;0.1,"Low",data[[#This Row],[Profit Margin]]&lt;0.2,"Medium","High")</f>
        <v>Medium</v>
      </c>
    </row>
    <row r="482" spans="1:20" x14ac:dyDescent="0.35">
      <c r="A482">
        <v>481</v>
      </c>
      <c r="B482" s="1" t="s">
        <v>34</v>
      </c>
      <c r="C482" s="1" t="s">
        <v>27</v>
      </c>
      <c r="D482" s="1" t="s">
        <v>43</v>
      </c>
      <c r="E482" s="1" t="s">
        <v>49</v>
      </c>
      <c r="F482">
        <v>432</v>
      </c>
      <c r="G482">
        <v>250</v>
      </c>
      <c r="H482">
        <v>300</v>
      </c>
      <c r="I482">
        <v>12960</v>
      </c>
      <c r="J482">
        <v>108000</v>
      </c>
      <c r="K482" s="2">
        <v>41883</v>
      </c>
      <c r="L482">
        <v>9</v>
      </c>
      <c r="M482" s="1" t="s">
        <v>36</v>
      </c>
      <c r="N482" s="1" t="s">
        <v>83</v>
      </c>
      <c r="O482">
        <v>2014</v>
      </c>
      <c r="P482">
        <v>129600</v>
      </c>
      <c r="Q482">
        <v>116640</v>
      </c>
      <c r="R482">
        <v>8640</v>
      </c>
      <c r="S482" s="22">
        <v>7.407407407407407E-2</v>
      </c>
      <c r="T482" t="str" cm="1">
        <f t="array" ref="T482">_xlfn.SWITCH(TRUE,data[[#This Row],[Profit Margin]]&lt;0,"Negative",data[[#This Row],[Profit Margin]]&lt;0.1,"Low",data[[#This Row],[Profit Margin]]&lt;0.2,"Medium","High")</f>
        <v>Low</v>
      </c>
    </row>
    <row r="483" spans="1:20" x14ac:dyDescent="0.35">
      <c r="A483">
        <v>482</v>
      </c>
      <c r="B483" s="1" t="s">
        <v>34</v>
      </c>
      <c r="C483" s="1" t="s">
        <v>38</v>
      </c>
      <c r="D483" s="1" t="s">
        <v>43</v>
      </c>
      <c r="E483" s="1" t="s">
        <v>49</v>
      </c>
      <c r="F483">
        <v>2294</v>
      </c>
      <c r="G483">
        <v>250</v>
      </c>
      <c r="H483">
        <v>300</v>
      </c>
      <c r="I483">
        <v>68820</v>
      </c>
      <c r="J483">
        <v>573500</v>
      </c>
      <c r="K483" s="2">
        <v>41548</v>
      </c>
      <c r="L483">
        <v>10</v>
      </c>
      <c r="M483" s="1" t="s">
        <v>37</v>
      </c>
      <c r="N483" s="1" t="s">
        <v>84</v>
      </c>
      <c r="O483">
        <v>2013</v>
      </c>
      <c r="P483">
        <v>688200</v>
      </c>
      <c r="Q483">
        <v>619380</v>
      </c>
      <c r="R483">
        <v>45880</v>
      </c>
      <c r="S483" s="22">
        <v>7.407407407407407E-2</v>
      </c>
      <c r="T483" t="str" cm="1">
        <f t="array" ref="T483">_xlfn.SWITCH(TRUE,data[[#This Row],[Profit Margin]]&lt;0,"Negative",data[[#This Row],[Profit Margin]]&lt;0.1,"Low",data[[#This Row],[Profit Margin]]&lt;0.2,"Medium","High")</f>
        <v>Low</v>
      </c>
    </row>
    <row r="484" spans="1:20" x14ac:dyDescent="0.35">
      <c r="A484">
        <v>483</v>
      </c>
      <c r="B484" s="1" t="s">
        <v>24</v>
      </c>
      <c r="C484" s="1" t="s">
        <v>25</v>
      </c>
      <c r="D484" s="1" t="s">
        <v>43</v>
      </c>
      <c r="E484" s="1" t="s">
        <v>49</v>
      </c>
      <c r="F484">
        <v>2167</v>
      </c>
      <c r="G484">
        <v>250</v>
      </c>
      <c r="H484">
        <v>15</v>
      </c>
      <c r="I484">
        <v>3250.5</v>
      </c>
      <c r="J484">
        <v>21670</v>
      </c>
      <c r="K484" s="2">
        <v>41548</v>
      </c>
      <c r="L484">
        <v>10</v>
      </c>
      <c r="M484" s="1" t="s">
        <v>37</v>
      </c>
      <c r="N484" s="1" t="s">
        <v>84</v>
      </c>
      <c r="O484">
        <v>2013</v>
      </c>
      <c r="P484">
        <v>32505</v>
      </c>
      <c r="Q484">
        <v>29254.5</v>
      </c>
      <c r="R484">
        <v>7584.5</v>
      </c>
      <c r="S484" s="22">
        <v>0.25925925925925924</v>
      </c>
      <c r="T484" t="str" cm="1">
        <f t="array" ref="T484">_xlfn.SWITCH(TRUE,data[[#This Row],[Profit Margin]]&lt;0,"Negative",data[[#This Row],[Profit Margin]]&lt;0.1,"Low",data[[#This Row],[Profit Margin]]&lt;0.2,"Medium","High")</f>
        <v>High</v>
      </c>
    </row>
    <row r="485" spans="1:20" x14ac:dyDescent="0.35">
      <c r="A485">
        <v>484</v>
      </c>
      <c r="B485" s="1" t="s">
        <v>32</v>
      </c>
      <c r="C485" s="1" t="s">
        <v>19</v>
      </c>
      <c r="D485" s="1" t="s">
        <v>43</v>
      </c>
      <c r="E485" s="1" t="s">
        <v>49</v>
      </c>
      <c r="F485">
        <v>2529</v>
      </c>
      <c r="G485">
        <v>250</v>
      </c>
      <c r="H485">
        <v>125</v>
      </c>
      <c r="I485">
        <v>31612.5</v>
      </c>
      <c r="J485">
        <v>303480</v>
      </c>
      <c r="K485" s="2">
        <v>41944</v>
      </c>
      <c r="L485">
        <v>11</v>
      </c>
      <c r="M485" s="1" t="s">
        <v>41</v>
      </c>
      <c r="N485" s="1" t="s">
        <v>86</v>
      </c>
      <c r="O485">
        <v>2014</v>
      </c>
      <c r="P485">
        <v>316125</v>
      </c>
      <c r="Q485">
        <v>284512.5</v>
      </c>
      <c r="R485">
        <v>-18967.5</v>
      </c>
      <c r="S485" s="22">
        <v>-6.6666666666666666E-2</v>
      </c>
      <c r="T485" t="str" cm="1">
        <f t="array" ref="T485">_xlfn.SWITCH(TRUE,data[[#This Row],[Profit Margin]]&lt;0,"Negative",data[[#This Row],[Profit Margin]]&lt;0.1,"Low",data[[#This Row],[Profit Margin]]&lt;0.2,"Medium","High")</f>
        <v>Negative</v>
      </c>
    </row>
    <row r="486" spans="1:20" x14ac:dyDescent="0.35">
      <c r="A486">
        <v>485</v>
      </c>
      <c r="B486" s="1" t="s">
        <v>18</v>
      </c>
      <c r="C486" s="1" t="s">
        <v>23</v>
      </c>
      <c r="D486" s="1" t="s">
        <v>43</v>
      </c>
      <c r="E486" s="1" t="s">
        <v>49</v>
      </c>
      <c r="F486">
        <v>1870</v>
      </c>
      <c r="G486">
        <v>250</v>
      </c>
      <c r="H486">
        <v>350</v>
      </c>
      <c r="I486">
        <v>65450</v>
      </c>
      <c r="J486">
        <v>486200</v>
      </c>
      <c r="K486" s="2">
        <v>41609</v>
      </c>
      <c r="L486">
        <v>12</v>
      </c>
      <c r="M486" s="1" t="s">
        <v>28</v>
      </c>
      <c r="N486" s="1" t="s">
        <v>79</v>
      </c>
      <c r="O486">
        <v>2013</v>
      </c>
      <c r="P486">
        <v>654500</v>
      </c>
      <c r="Q486">
        <v>589050</v>
      </c>
      <c r="R486">
        <v>102850</v>
      </c>
      <c r="S486" s="22">
        <v>0.17460317460317459</v>
      </c>
      <c r="T486" t="str" cm="1">
        <f t="array" ref="T486">_xlfn.SWITCH(TRUE,data[[#This Row],[Profit Margin]]&lt;0,"Negative",data[[#This Row],[Profit Margin]]&lt;0.1,"Low",data[[#This Row],[Profit Margin]]&lt;0.2,"Medium","High")</f>
        <v>Medium</v>
      </c>
    </row>
    <row r="487" spans="1:20" x14ac:dyDescent="0.35">
      <c r="A487">
        <v>486</v>
      </c>
      <c r="B487" s="1" t="s">
        <v>32</v>
      </c>
      <c r="C487" s="1" t="s">
        <v>38</v>
      </c>
      <c r="D487" s="1" t="s">
        <v>45</v>
      </c>
      <c r="E487" s="1" t="s">
        <v>49</v>
      </c>
      <c r="F487">
        <v>579</v>
      </c>
      <c r="G487">
        <v>260</v>
      </c>
      <c r="H487">
        <v>125</v>
      </c>
      <c r="I487">
        <v>7237.5</v>
      </c>
      <c r="J487">
        <v>69480</v>
      </c>
      <c r="K487" s="2">
        <v>41640</v>
      </c>
      <c r="L487">
        <v>1</v>
      </c>
      <c r="M487" s="1" t="s">
        <v>22</v>
      </c>
      <c r="N487" s="1" t="s">
        <v>77</v>
      </c>
      <c r="O487">
        <v>2014</v>
      </c>
      <c r="P487">
        <v>72375</v>
      </c>
      <c r="Q487">
        <v>65137.5</v>
      </c>
      <c r="R487">
        <v>-4342.5</v>
      </c>
      <c r="S487" s="22">
        <v>-6.6666666666666666E-2</v>
      </c>
      <c r="T487" t="str" cm="1">
        <f t="array" ref="T487">_xlfn.SWITCH(TRUE,data[[#This Row],[Profit Margin]]&lt;0,"Negative",data[[#This Row],[Profit Margin]]&lt;0.1,"Low",data[[#This Row],[Profit Margin]]&lt;0.2,"Medium","High")</f>
        <v>Negative</v>
      </c>
    </row>
    <row r="488" spans="1:20" x14ac:dyDescent="0.35">
      <c r="A488">
        <v>487</v>
      </c>
      <c r="B488" s="1" t="s">
        <v>18</v>
      </c>
      <c r="C488" s="1" t="s">
        <v>19</v>
      </c>
      <c r="D488" s="1" t="s">
        <v>45</v>
      </c>
      <c r="E488" s="1" t="s">
        <v>49</v>
      </c>
      <c r="F488">
        <v>2240</v>
      </c>
      <c r="G488">
        <v>260</v>
      </c>
      <c r="H488">
        <v>350</v>
      </c>
      <c r="I488">
        <v>78400</v>
      </c>
      <c r="J488">
        <v>582400</v>
      </c>
      <c r="K488" s="2">
        <v>41671</v>
      </c>
      <c r="L488">
        <v>2</v>
      </c>
      <c r="M488" s="1" t="s">
        <v>40</v>
      </c>
      <c r="N488" s="1" t="s">
        <v>85</v>
      </c>
      <c r="O488">
        <v>2014</v>
      </c>
      <c r="P488">
        <v>784000</v>
      </c>
      <c r="Q488">
        <v>705600</v>
      </c>
      <c r="R488">
        <v>123200</v>
      </c>
      <c r="S488" s="22">
        <v>0.17460317460317459</v>
      </c>
      <c r="T488" t="str" cm="1">
        <f t="array" ref="T488">_xlfn.SWITCH(TRUE,data[[#This Row],[Profit Margin]]&lt;0,"Negative",data[[#This Row],[Profit Margin]]&lt;0.1,"Low",data[[#This Row],[Profit Margin]]&lt;0.2,"Medium","High")</f>
        <v>Medium</v>
      </c>
    </row>
    <row r="489" spans="1:20" x14ac:dyDescent="0.35">
      <c r="A489">
        <v>488</v>
      </c>
      <c r="B489" s="1" t="s">
        <v>34</v>
      </c>
      <c r="C489" s="1" t="s">
        <v>38</v>
      </c>
      <c r="D489" s="1" t="s">
        <v>45</v>
      </c>
      <c r="E489" s="1" t="s">
        <v>49</v>
      </c>
      <c r="F489">
        <v>2993</v>
      </c>
      <c r="G489">
        <v>260</v>
      </c>
      <c r="H489">
        <v>300</v>
      </c>
      <c r="I489">
        <v>89790</v>
      </c>
      <c r="J489">
        <v>748250</v>
      </c>
      <c r="K489" s="2">
        <v>41699</v>
      </c>
      <c r="L489">
        <v>3</v>
      </c>
      <c r="M489" s="1" t="s">
        <v>30</v>
      </c>
      <c r="N489" s="1" t="s">
        <v>80</v>
      </c>
      <c r="O489">
        <v>2014</v>
      </c>
      <c r="P489">
        <v>897900</v>
      </c>
      <c r="Q489">
        <v>808110</v>
      </c>
      <c r="R489">
        <v>59860</v>
      </c>
      <c r="S489" s="22">
        <v>7.407407407407407E-2</v>
      </c>
      <c r="T489" t="str" cm="1">
        <f t="array" ref="T489">_xlfn.SWITCH(TRUE,data[[#This Row],[Profit Margin]]&lt;0,"Negative",data[[#This Row],[Profit Margin]]&lt;0.1,"Low",data[[#This Row],[Profit Margin]]&lt;0.2,"Medium","High")</f>
        <v>Low</v>
      </c>
    </row>
    <row r="490" spans="1:20" x14ac:dyDescent="0.35">
      <c r="A490">
        <v>489</v>
      </c>
      <c r="B490" s="1" t="s">
        <v>31</v>
      </c>
      <c r="C490" s="1" t="s">
        <v>19</v>
      </c>
      <c r="D490" s="1" t="s">
        <v>45</v>
      </c>
      <c r="E490" s="1" t="s">
        <v>49</v>
      </c>
      <c r="F490">
        <v>3520.5</v>
      </c>
      <c r="G490">
        <v>260</v>
      </c>
      <c r="H490">
        <v>12</v>
      </c>
      <c r="I490">
        <v>4224.6000000000004</v>
      </c>
      <c r="J490">
        <v>10561.5</v>
      </c>
      <c r="K490" s="2">
        <v>41730</v>
      </c>
      <c r="L490">
        <v>4</v>
      </c>
      <c r="M490" s="1" t="s">
        <v>44</v>
      </c>
      <c r="N490" s="1" t="s">
        <v>87</v>
      </c>
      <c r="O490">
        <v>2014</v>
      </c>
      <c r="P490">
        <v>42246</v>
      </c>
      <c r="Q490">
        <v>38021.4</v>
      </c>
      <c r="R490">
        <v>27459.9</v>
      </c>
      <c r="S490" s="22">
        <v>0.72222222222222221</v>
      </c>
      <c r="T490" t="str" cm="1">
        <f t="array" ref="T490">_xlfn.SWITCH(TRUE,data[[#This Row],[Profit Margin]]&lt;0,"Negative",data[[#This Row],[Profit Margin]]&lt;0.1,"Low",data[[#This Row],[Profit Margin]]&lt;0.2,"Medium","High")</f>
        <v>High</v>
      </c>
    </row>
    <row r="491" spans="1:20" x14ac:dyDescent="0.35">
      <c r="A491">
        <v>490</v>
      </c>
      <c r="B491" s="1" t="s">
        <v>18</v>
      </c>
      <c r="C491" s="1" t="s">
        <v>27</v>
      </c>
      <c r="D491" s="1" t="s">
        <v>45</v>
      </c>
      <c r="E491" s="1" t="s">
        <v>49</v>
      </c>
      <c r="F491">
        <v>2039</v>
      </c>
      <c r="G491">
        <v>260</v>
      </c>
      <c r="H491">
        <v>20</v>
      </c>
      <c r="I491">
        <v>4078</v>
      </c>
      <c r="J491">
        <v>20390</v>
      </c>
      <c r="K491" s="2">
        <v>41760</v>
      </c>
      <c r="L491">
        <v>5</v>
      </c>
      <c r="M491" s="1" t="s">
        <v>47</v>
      </c>
      <c r="N491" s="1" t="s">
        <v>47</v>
      </c>
      <c r="O491">
        <v>2014</v>
      </c>
      <c r="P491">
        <v>40780</v>
      </c>
      <c r="Q491">
        <v>36702</v>
      </c>
      <c r="R491">
        <v>16312</v>
      </c>
      <c r="S491" s="22">
        <v>0.44444444444444442</v>
      </c>
      <c r="T491" t="str" cm="1">
        <f t="array" ref="T491">_xlfn.SWITCH(TRUE,data[[#This Row],[Profit Margin]]&lt;0,"Negative",data[[#This Row],[Profit Margin]]&lt;0.1,"Low",data[[#This Row],[Profit Margin]]&lt;0.2,"Medium","High")</f>
        <v>High</v>
      </c>
    </row>
    <row r="492" spans="1:20" x14ac:dyDescent="0.35">
      <c r="A492">
        <v>491</v>
      </c>
      <c r="B492" s="1" t="s">
        <v>31</v>
      </c>
      <c r="C492" s="1" t="s">
        <v>23</v>
      </c>
      <c r="D492" s="1" t="s">
        <v>45</v>
      </c>
      <c r="E492" s="1" t="s">
        <v>49</v>
      </c>
      <c r="F492">
        <v>2574</v>
      </c>
      <c r="G492">
        <v>260</v>
      </c>
      <c r="H492">
        <v>12</v>
      </c>
      <c r="I492">
        <v>3088.8</v>
      </c>
      <c r="J492">
        <v>7722</v>
      </c>
      <c r="K492" s="2">
        <v>41852</v>
      </c>
      <c r="L492">
        <v>8</v>
      </c>
      <c r="M492" s="1" t="s">
        <v>35</v>
      </c>
      <c r="N492" s="1" t="s">
        <v>82</v>
      </c>
      <c r="O492">
        <v>2014</v>
      </c>
      <c r="P492">
        <v>30888</v>
      </c>
      <c r="Q492">
        <v>27799.200000000001</v>
      </c>
      <c r="R492">
        <v>20077.2</v>
      </c>
      <c r="S492" s="22">
        <v>0.72222222222222221</v>
      </c>
      <c r="T492" t="str" cm="1">
        <f t="array" ref="T492">_xlfn.SWITCH(TRUE,data[[#This Row],[Profit Margin]]&lt;0,"Negative",data[[#This Row],[Profit Margin]]&lt;0.1,"Low",data[[#This Row],[Profit Margin]]&lt;0.2,"Medium","High")</f>
        <v>High</v>
      </c>
    </row>
    <row r="493" spans="1:20" x14ac:dyDescent="0.35">
      <c r="A493">
        <v>492</v>
      </c>
      <c r="B493" s="1" t="s">
        <v>18</v>
      </c>
      <c r="C493" s="1" t="s">
        <v>19</v>
      </c>
      <c r="D493" s="1" t="s">
        <v>45</v>
      </c>
      <c r="E493" s="1" t="s">
        <v>49</v>
      </c>
      <c r="F493">
        <v>707</v>
      </c>
      <c r="G493">
        <v>260</v>
      </c>
      <c r="H493">
        <v>350</v>
      </c>
      <c r="I493">
        <v>24745</v>
      </c>
      <c r="J493">
        <v>183820</v>
      </c>
      <c r="K493" s="2">
        <v>41883</v>
      </c>
      <c r="L493">
        <v>9</v>
      </c>
      <c r="M493" s="1" t="s">
        <v>36</v>
      </c>
      <c r="N493" s="1" t="s">
        <v>83</v>
      </c>
      <c r="O493">
        <v>2014</v>
      </c>
      <c r="P493">
        <v>247450</v>
      </c>
      <c r="Q493">
        <v>222705</v>
      </c>
      <c r="R493">
        <v>38885</v>
      </c>
      <c r="S493" s="22">
        <v>0.17460317460317459</v>
      </c>
      <c r="T493" t="str" cm="1">
        <f t="array" ref="T493">_xlfn.SWITCH(TRUE,data[[#This Row],[Profit Margin]]&lt;0,"Negative",data[[#This Row],[Profit Margin]]&lt;0.1,"Low",data[[#This Row],[Profit Margin]]&lt;0.2,"Medium","High")</f>
        <v>Medium</v>
      </c>
    </row>
    <row r="494" spans="1:20" x14ac:dyDescent="0.35">
      <c r="A494">
        <v>493</v>
      </c>
      <c r="B494" s="1" t="s">
        <v>24</v>
      </c>
      <c r="C494" s="1" t="s">
        <v>25</v>
      </c>
      <c r="D494" s="1" t="s">
        <v>45</v>
      </c>
      <c r="E494" s="1" t="s">
        <v>49</v>
      </c>
      <c r="F494">
        <v>2072</v>
      </c>
      <c r="G494">
        <v>260</v>
      </c>
      <c r="H494">
        <v>15</v>
      </c>
      <c r="I494">
        <v>3108</v>
      </c>
      <c r="J494">
        <v>20720</v>
      </c>
      <c r="K494" s="2">
        <v>41974</v>
      </c>
      <c r="L494">
        <v>12</v>
      </c>
      <c r="M494" s="1" t="s">
        <v>28</v>
      </c>
      <c r="N494" s="1" t="s">
        <v>79</v>
      </c>
      <c r="O494">
        <v>2014</v>
      </c>
      <c r="P494">
        <v>31080</v>
      </c>
      <c r="Q494">
        <v>27972</v>
      </c>
      <c r="R494">
        <v>7252</v>
      </c>
      <c r="S494" s="22">
        <v>0.25925925925925924</v>
      </c>
      <c r="T494" t="str" cm="1">
        <f t="array" ref="T494">_xlfn.SWITCH(TRUE,data[[#This Row],[Profit Margin]]&lt;0,"Negative",data[[#This Row],[Profit Margin]]&lt;0.1,"Low",data[[#This Row],[Profit Margin]]&lt;0.2,"Medium","High")</f>
        <v>High</v>
      </c>
    </row>
    <row r="495" spans="1:20" x14ac:dyDescent="0.35">
      <c r="A495">
        <v>494</v>
      </c>
      <c r="B495" s="1" t="s">
        <v>34</v>
      </c>
      <c r="C495" s="1" t="s">
        <v>25</v>
      </c>
      <c r="D495" s="1" t="s">
        <v>45</v>
      </c>
      <c r="E495" s="1" t="s">
        <v>49</v>
      </c>
      <c r="F495">
        <v>853</v>
      </c>
      <c r="G495">
        <v>260</v>
      </c>
      <c r="H495">
        <v>300</v>
      </c>
      <c r="I495">
        <v>25590</v>
      </c>
      <c r="J495">
        <v>213250</v>
      </c>
      <c r="K495" s="2">
        <v>41974</v>
      </c>
      <c r="L495">
        <v>12</v>
      </c>
      <c r="M495" s="1" t="s">
        <v>28</v>
      </c>
      <c r="N495" s="1" t="s">
        <v>79</v>
      </c>
      <c r="O495">
        <v>2014</v>
      </c>
      <c r="P495">
        <v>255900</v>
      </c>
      <c r="Q495">
        <v>230310</v>
      </c>
      <c r="R495">
        <v>17060</v>
      </c>
      <c r="S495" s="22">
        <v>7.407407407407407E-2</v>
      </c>
      <c r="T495" t="str" cm="1">
        <f t="array" ref="T495">_xlfn.SWITCH(TRUE,data[[#This Row],[Profit Margin]]&lt;0,"Negative",data[[#This Row],[Profit Margin]]&lt;0.1,"Low",data[[#This Row],[Profit Margin]]&lt;0.2,"Medium","High")</f>
        <v>Low</v>
      </c>
    </row>
    <row r="496" spans="1:20" x14ac:dyDescent="0.35">
      <c r="A496">
        <v>495</v>
      </c>
      <c r="B496" s="1" t="s">
        <v>31</v>
      </c>
      <c r="C496" s="1" t="s">
        <v>25</v>
      </c>
      <c r="D496" s="1" t="s">
        <v>20</v>
      </c>
      <c r="E496" s="1" t="s">
        <v>49</v>
      </c>
      <c r="F496">
        <v>1198</v>
      </c>
      <c r="G496">
        <v>3</v>
      </c>
      <c r="H496">
        <v>12</v>
      </c>
      <c r="I496">
        <v>1581.36</v>
      </c>
      <c r="J496">
        <v>3594</v>
      </c>
      <c r="K496" s="2">
        <v>41548</v>
      </c>
      <c r="L496">
        <v>10</v>
      </c>
      <c r="M496" s="1" t="s">
        <v>37</v>
      </c>
      <c r="N496" s="1" t="s">
        <v>84</v>
      </c>
      <c r="O496">
        <v>2013</v>
      </c>
      <c r="P496">
        <v>14376</v>
      </c>
      <c r="Q496">
        <v>12794.64</v>
      </c>
      <c r="R496">
        <v>9200.64</v>
      </c>
      <c r="S496" s="22">
        <v>0.7191011235955056</v>
      </c>
      <c r="T496" t="str" cm="1">
        <f t="array" ref="T496">_xlfn.SWITCH(TRUE,data[[#This Row],[Profit Margin]]&lt;0,"Negative",data[[#This Row],[Profit Margin]]&lt;0.1,"Low",data[[#This Row],[Profit Margin]]&lt;0.2,"Medium","High")</f>
        <v>High</v>
      </c>
    </row>
    <row r="497" spans="1:20" x14ac:dyDescent="0.35">
      <c r="A497">
        <v>496</v>
      </c>
      <c r="B497" s="1" t="s">
        <v>18</v>
      </c>
      <c r="C497" s="1" t="s">
        <v>25</v>
      </c>
      <c r="D497" s="1" t="s">
        <v>39</v>
      </c>
      <c r="E497" s="1" t="s">
        <v>49</v>
      </c>
      <c r="F497">
        <v>2532</v>
      </c>
      <c r="G497">
        <v>10</v>
      </c>
      <c r="H497">
        <v>7</v>
      </c>
      <c r="I497">
        <v>1949.6399999999999</v>
      </c>
      <c r="J497">
        <v>12660</v>
      </c>
      <c r="K497" s="2">
        <v>41730</v>
      </c>
      <c r="L497">
        <v>4</v>
      </c>
      <c r="M497" s="1" t="s">
        <v>44</v>
      </c>
      <c r="N497" s="1" t="s">
        <v>87</v>
      </c>
      <c r="O497">
        <v>2014</v>
      </c>
      <c r="P497">
        <v>17724</v>
      </c>
      <c r="Q497">
        <v>15774.36</v>
      </c>
      <c r="R497">
        <v>3114.3600000000006</v>
      </c>
      <c r="S497" s="22">
        <v>0.19743178170144465</v>
      </c>
      <c r="T497" t="str" cm="1">
        <f t="array" ref="T497">_xlfn.SWITCH(TRUE,data[[#This Row],[Profit Margin]]&lt;0,"Negative",data[[#This Row],[Profit Margin]]&lt;0.1,"Low",data[[#This Row],[Profit Margin]]&lt;0.2,"Medium","High")</f>
        <v>Medium</v>
      </c>
    </row>
    <row r="498" spans="1:20" x14ac:dyDescent="0.35">
      <c r="A498">
        <v>497</v>
      </c>
      <c r="B498" s="1" t="s">
        <v>31</v>
      </c>
      <c r="C498" s="1" t="s">
        <v>25</v>
      </c>
      <c r="D498" s="1" t="s">
        <v>39</v>
      </c>
      <c r="E498" s="1" t="s">
        <v>49</v>
      </c>
      <c r="F498">
        <v>1198</v>
      </c>
      <c r="G498">
        <v>10</v>
      </c>
      <c r="H498">
        <v>12</v>
      </c>
      <c r="I498">
        <v>1581.36</v>
      </c>
      <c r="J498">
        <v>3594</v>
      </c>
      <c r="K498" s="2">
        <v>41548</v>
      </c>
      <c r="L498">
        <v>10</v>
      </c>
      <c r="M498" s="1" t="s">
        <v>37</v>
      </c>
      <c r="N498" s="1" t="s">
        <v>84</v>
      </c>
      <c r="O498">
        <v>2013</v>
      </c>
      <c r="P498">
        <v>14376</v>
      </c>
      <c r="Q498">
        <v>12794.64</v>
      </c>
      <c r="R498">
        <v>9200.64</v>
      </c>
      <c r="S498" s="22">
        <v>0.7191011235955056</v>
      </c>
      <c r="T498" t="str" cm="1">
        <f t="array" ref="T498">_xlfn.SWITCH(TRUE,data[[#This Row],[Profit Margin]]&lt;0,"Negative",data[[#This Row],[Profit Margin]]&lt;0.1,"Low",data[[#This Row],[Profit Margin]]&lt;0.2,"Medium","High")</f>
        <v>High</v>
      </c>
    </row>
    <row r="499" spans="1:20" x14ac:dyDescent="0.35">
      <c r="A499">
        <v>498</v>
      </c>
      <c r="B499" s="1" t="s">
        <v>24</v>
      </c>
      <c r="C499" s="1" t="s">
        <v>19</v>
      </c>
      <c r="D499" s="1" t="s">
        <v>42</v>
      </c>
      <c r="E499" s="1" t="s">
        <v>49</v>
      </c>
      <c r="F499">
        <v>384</v>
      </c>
      <c r="G499">
        <v>120</v>
      </c>
      <c r="H499">
        <v>15</v>
      </c>
      <c r="I499">
        <v>633.59999999999991</v>
      </c>
      <c r="J499">
        <v>3840</v>
      </c>
      <c r="K499" s="2">
        <v>41640</v>
      </c>
      <c r="L499">
        <v>1</v>
      </c>
      <c r="M499" s="1" t="s">
        <v>22</v>
      </c>
      <c r="N499" s="1" t="s">
        <v>77</v>
      </c>
      <c r="O499">
        <v>2014</v>
      </c>
      <c r="P499">
        <v>5760</v>
      </c>
      <c r="Q499">
        <v>5126.3999999999996</v>
      </c>
      <c r="R499">
        <v>1286.3999999999996</v>
      </c>
      <c r="S499" s="22">
        <v>0.25093632958801493</v>
      </c>
      <c r="T499" t="str" cm="1">
        <f t="array" ref="T499">_xlfn.SWITCH(TRUE,data[[#This Row],[Profit Margin]]&lt;0,"Negative",data[[#This Row],[Profit Margin]]&lt;0.1,"Low",data[[#This Row],[Profit Margin]]&lt;0.2,"Medium","High")</f>
        <v>High</v>
      </c>
    </row>
    <row r="500" spans="1:20" x14ac:dyDescent="0.35">
      <c r="A500">
        <v>499</v>
      </c>
      <c r="B500" s="1" t="s">
        <v>31</v>
      </c>
      <c r="C500" s="1" t="s">
        <v>23</v>
      </c>
      <c r="D500" s="1" t="s">
        <v>42</v>
      </c>
      <c r="E500" s="1" t="s">
        <v>49</v>
      </c>
      <c r="F500">
        <v>472</v>
      </c>
      <c r="G500">
        <v>120</v>
      </c>
      <c r="H500">
        <v>12</v>
      </c>
      <c r="I500">
        <v>623.04</v>
      </c>
      <c r="J500">
        <v>1416</v>
      </c>
      <c r="K500" s="2">
        <v>41913</v>
      </c>
      <c r="L500">
        <v>10</v>
      </c>
      <c r="M500" s="1" t="s">
        <v>37</v>
      </c>
      <c r="N500" s="1" t="s">
        <v>84</v>
      </c>
      <c r="O500">
        <v>2014</v>
      </c>
      <c r="P500">
        <v>5664</v>
      </c>
      <c r="Q500">
        <v>5040.96</v>
      </c>
      <c r="R500">
        <v>3624.96</v>
      </c>
      <c r="S500" s="22">
        <v>0.7191011235955056</v>
      </c>
      <c r="T500" t="str" cm="1">
        <f t="array" ref="T500">_xlfn.SWITCH(TRUE,data[[#This Row],[Profit Margin]]&lt;0,"Negative",data[[#This Row],[Profit Margin]]&lt;0.1,"Low",data[[#This Row],[Profit Margin]]&lt;0.2,"Medium","High")</f>
        <v>High</v>
      </c>
    </row>
    <row r="501" spans="1:20" x14ac:dyDescent="0.35">
      <c r="A501">
        <v>500</v>
      </c>
      <c r="B501" s="1" t="s">
        <v>18</v>
      </c>
      <c r="C501" s="1" t="s">
        <v>38</v>
      </c>
      <c r="D501" s="1" t="s">
        <v>43</v>
      </c>
      <c r="E501" s="1" t="s">
        <v>49</v>
      </c>
      <c r="F501">
        <v>1579</v>
      </c>
      <c r="G501">
        <v>250</v>
      </c>
      <c r="H501">
        <v>7</v>
      </c>
      <c r="I501">
        <v>1215.83</v>
      </c>
      <c r="J501">
        <v>7895</v>
      </c>
      <c r="K501" s="2">
        <v>41699</v>
      </c>
      <c r="L501">
        <v>3</v>
      </c>
      <c r="M501" s="1" t="s">
        <v>30</v>
      </c>
      <c r="N501" s="1" t="s">
        <v>80</v>
      </c>
      <c r="O501">
        <v>2014</v>
      </c>
      <c r="P501">
        <v>11053</v>
      </c>
      <c r="Q501">
        <v>9837.17</v>
      </c>
      <c r="R501">
        <v>1942.17</v>
      </c>
      <c r="S501" s="22">
        <v>0.19743178170144463</v>
      </c>
      <c r="T501" t="str" cm="1">
        <f t="array" ref="T501">_xlfn.SWITCH(TRUE,data[[#This Row],[Profit Margin]]&lt;0,"Negative",data[[#This Row],[Profit Margin]]&lt;0.1,"Low",data[[#This Row],[Profit Margin]]&lt;0.2,"Medium","High")</f>
        <v>Medium</v>
      </c>
    </row>
    <row r="502" spans="1:20" x14ac:dyDescent="0.35">
      <c r="A502">
        <v>501</v>
      </c>
      <c r="B502" s="1" t="s">
        <v>31</v>
      </c>
      <c r="C502" s="1" t="s">
        <v>27</v>
      </c>
      <c r="D502" s="1" t="s">
        <v>43</v>
      </c>
      <c r="E502" s="1" t="s">
        <v>49</v>
      </c>
      <c r="F502">
        <v>1005</v>
      </c>
      <c r="G502">
        <v>250</v>
      </c>
      <c r="H502">
        <v>12</v>
      </c>
      <c r="I502">
        <v>1326.6</v>
      </c>
      <c r="J502">
        <v>3015</v>
      </c>
      <c r="K502" s="2">
        <v>41518</v>
      </c>
      <c r="L502">
        <v>9</v>
      </c>
      <c r="M502" s="1" t="s">
        <v>36</v>
      </c>
      <c r="N502" s="1" t="s">
        <v>83</v>
      </c>
      <c r="O502">
        <v>2013</v>
      </c>
      <c r="P502">
        <v>12060</v>
      </c>
      <c r="Q502">
        <v>10733.4</v>
      </c>
      <c r="R502">
        <v>7718.4</v>
      </c>
      <c r="S502" s="22">
        <v>0.7191011235955056</v>
      </c>
      <c r="T502" t="str" cm="1">
        <f t="array" ref="T502">_xlfn.SWITCH(TRUE,data[[#This Row],[Profit Margin]]&lt;0,"Negative",data[[#This Row],[Profit Margin]]&lt;0.1,"Low",data[[#This Row],[Profit Margin]]&lt;0.2,"Medium","High")</f>
        <v>High</v>
      </c>
    </row>
    <row r="503" spans="1:20" x14ac:dyDescent="0.35">
      <c r="A503">
        <v>502</v>
      </c>
      <c r="B503" s="1" t="s">
        <v>24</v>
      </c>
      <c r="C503" s="1" t="s">
        <v>38</v>
      </c>
      <c r="D503" s="1" t="s">
        <v>45</v>
      </c>
      <c r="E503" s="1" t="s">
        <v>49</v>
      </c>
      <c r="F503">
        <v>3199.5</v>
      </c>
      <c r="G503">
        <v>260</v>
      </c>
      <c r="H503">
        <v>15</v>
      </c>
      <c r="I503">
        <v>5279.1749999999993</v>
      </c>
      <c r="J503">
        <v>31995</v>
      </c>
      <c r="K503" s="2">
        <v>41821</v>
      </c>
      <c r="L503">
        <v>7</v>
      </c>
      <c r="M503" s="1" t="s">
        <v>33</v>
      </c>
      <c r="N503" s="1" t="s">
        <v>81</v>
      </c>
      <c r="O503">
        <v>2014</v>
      </c>
      <c r="P503">
        <v>47992.5</v>
      </c>
      <c r="Q503">
        <v>42713.324999999997</v>
      </c>
      <c r="R503">
        <v>10718.324999999997</v>
      </c>
      <c r="S503" s="22">
        <v>0.25093632958801493</v>
      </c>
      <c r="T503" t="str" cm="1">
        <f t="array" ref="T503">_xlfn.SWITCH(TRUE,data[[#This Row],[Profit Margin]]&lt;0,"Negative",data[[#This Row],[Profit Margin]]&lt;0.1,"Low",data[[#This Row],[Profit Margin]]&lt;0.2,"Medium","High")</f>
        <v>High</v>
      </c>
    </row>
    <row r="504" spans="1:20" x14ac:dyDescent="0.35">
      <c r="A504">
        <v>503</v>
      </c>
      <c r="B504" s="1" t="s">
        <v>31</v>
      </c>
      <c r="C504" s="1" t="s">
        <v>23</v>
      </c>
      <c r="D504" s="1" t="s">
        <v>45</v>
      </c>
      <c r="E504" s="1" t="s">
        <v>49</v>
      </c>
      <c r="F504">
        <v>472</v>
      </c>
      <c r="G504">
        <v>260</v>
      </c>
      <c r="H504">
        <v>12</v>
      </c>
      <c r="I504">
        <v>623.04</v>
      </c>
      <c r="J504">
        <v>1416</v>
      </c>
      <c r="K504" s="2">
        <v>41913</v>
      </c>
      <c r="L504">
        <v>10</v>
      </c>
      <c r="M504" s="1" t="s">
        <v>37</v>
      </c>
      <c r="N504" s="1" t="s">
        <v>84</v>
      </c>
      <c r="O504">
        <v>2014</v>
      </c>
      <c r="P504">
        <v>5664</v>
      </c>
      <c r="Q504">
        <v>5040.96</v>
      </c>
      <c r="R504">
        <v>3624.96</v>
      </c>
      <c r="S504" s="22">
        <v>0.7191011235955056</v>
      </c>
      <c r="T504" t="str" cm="1">
        <f t="array" ref="T504">_xlfn.SWITCH(TRUE,data[[#This Row],[Profit Margin]]&lt;0,"Negative",data[[#This Row],[Profit Margin]]&lt;0.1,"Low",data[[#This Row],[Profit Margin]]&lt;0.2,"Medium","High")</f>
        <v>High</v>
      </c>
    </row>
    <row r="505" spans="1:20" x14ac:dyDescent="0.35">
      <c r="A505">
        <v>504</v>
      </c>
      <c r="B505" s="1" t="s">
        <v>31</v>
      </c>
      <c r="C505" s="1" t="s">
        <v>19</v>
      </c>
      <c r="D505" s="1" t="s">
        <v>20</v>
      </c>
      <c r="E505" s="1" t="s">
        <v>49</v>
      </c>
      <c r="F505">
        <v>1937</v>
      </c>
      <c r="G505">
        <v>3</v>
      </c>
      <c r="H505">
        <v>12</v>
      </c>
      <c r="I505">
        <v>2556.84</v>
      </c>
      <c r="J505">
        <v>5811</v>
      </c>
      <c r="K505" s="2">
        <v>41671</v>
      </c>
      <c r="L505">
        <v>2</v>
      </c>
      <c r="M505" s="1" t="s">
        <v>40</v>
      </c>
      <c r="N505" s="1" t="s">
        <v>85</v>
      </c>
      <c r="O505">
        <v>2014</v>
      </c>
      <c r="P505">
        <v>23244</v>
      </c>
      <c r="Q505">
        <v>20687.16</v>
      </c>
      <c r="R505">
        <v>14876.16</v>
      </c>
      <c r="S505" s="22">
        <v>0.7191011235955056</v>
      </c>
      <c r="T505" t="str" cm="1">
        <f t="array" ref="T505">_xlfn.SWITCH(TRUE,data[[#This Row],[Profit Margin]]&lt;0,"Negative",data[[#This Row],[Profit Margin]]&lt;0.1,"Low",data[[#This Row],[Profit Margin]]&lt;0.2,"Medium","High")</f>
        <v>High</v>
      </c>
    </row>
    <row r="506" spans="1:20" x14ac:dyDescent="0.35">
      <c r="A506">
        <v>505</v>
      </c>
      <c r="B506" s="1" t="s">
        <v>18</v>
      </c>
      <c r="C506" s="1" t="s">
        <v>23</v>
      </c>
      <c r="D506" s="1" t="s">
        <v>20</v>
      </c>
      <c r="E506" s="1" t="s">
        <v>49</v>
      </c>
      <c r="F506">
        <v>792</v>
      </c>
      <c r="G506">
        <v>3</v>
      </c>
      <c r="H506">
        <v>350</v>
      </c>
      <c r="I506">
        <v>30492</v>
      </c>
      <c r="J506">
        <v>205920</v>
      </c>
      <c r="K506" s="2">
        <v>41699</v>
      </c>
      <c r="L506">
        <v>3</v>
      </c>
      <c r="M506" s="1" t="s">
        <v>30</v>
      </c>
      <c r="N506" s="1" t="s">
        <v>80</v>
      </c>
      <c r="O506">
        <v>2014</v>
      </c>
      <c r="P506">
        <v>277200</v>
      </c>
      <c r="Q506">
        <v>246708</v>
      </c>
      <c r="R506">
        <v>40788</v>
      </c>
      <c r="S506" s="22">
        <v>0.1653290529695024</v>
      </c>
      <c r="T506" t="str" cm="1">
        <f t="array" ref="T506">_xlfn.SWITCH(TRUE,data[[#This Row],[Profit Margin]]&lt;0,"Negative",data[[#This Row],[Profit Margin]]&lt;0.1,"Low",data[[#This Row],[Profit Margin]]&lt;0.2,"Medium","High")</f>
        <v>Medium</v>
      </c>
    </row>
    <row r="507" spans="1:20" x14ac:dyDescent="0.35">
      <c r="A507">
        <v>506</v>
      </c>
      <c r="B507" s="1" t="s">
        <v>34</v>
      </c>
      <c r="C507" s="1" t="s">
        <v>23</v>
      </c>
      <c r="D507" s="1" t="s">
        <v>20</v>
      </c>
      <c r="E507" s="1" t="s">
        <v>49</v>
      </c>
      <c r="F507">
        <v>2811</v>
      </c>
      <c r="G507">
        <v>3</v>
      </c>
      <c r="H507">
        <v>300</v>
      </c>
      <c r="I507">
        <v>92763</v>
      </c>
      <c r="J507">
        <v>702750</v>
      </c>
      <c r="K507" s="2">
        <v>41821</v>
      </c>
      <c r="L507">
        <v>7</v>
      </c>
      <c r="M507" s="1" t="s">
        <v>33</v>
      </c>
      <c r="N507" s="1" t="s">
        <v>81</v>
      </c>
      <c r="O507">
        <v>2014</v>
      </c>
      <c r="P507">
        <v>843300</v>
      </c>
      <c r="Q507">
        <v>750537</v>
      </c>
      <c r="R507">
        <v>47787</v>
      </c>
      <c r="S507" s="22">
        <v>6.3670411985018729E-2</v>
      </c>
      <c r="T507" t="str" cm="1">
        <f t="array" ref="T507">_xlfn.SWITCH(TRUE,data[[#This Row],[Profit Margin]]&lt;0,"Negative",data[[#This Row],[Profit Margin]]&lt;0.1,"Low",data[[#This Row],[Profit Margin]]&lt;0.2,"Medium","High")</f>
        <v>Low</v>
      </c>
    </row>
    <row r="508" spans="1:20" x14ac:dyDescent="0.35">
      <c r="A508">
        <v>507</v>
      </c>
      <c r="B508" s="1" t="s">
        <v>32</v>
      </c>
      <c r="C508" s="1" t="s">
        <v>25</v>
      </c>
      <c r="D508" s="1" t="s">
        <v>20</v>
      </c>
      <c r="E508" s="1" t="s">
        <v>49</v>
      </c>
      <c r="F508">
        <v>2441</v>
      </c>
      <c r="G508">
        <v>3</v>
      </c>
      <c r="H508">
        <v>125</v>
      </c>
      <c r="I508">
        <v>33563.75</v>
      </c>
      <c r="J508">
        <v>292920</v>
      </c>
      <c r="K508" s="2">
        <v>41913</v>
      </c>
      <c r="L508">
        <v>10</v>
      </c>
      <c r="M508" s="1" t="s">
        <v>37</v>
      </c>
      <c r="N508" s="1" t="s">
        <v>84</v>
      </c>
      <c r="O508">
        <v>2014</v>
      </c>
      <c r="P508">
        <v>305125</v>
      </c>
      <c r="Q508">
        <v>271561.25</v>
      </c>
      <c r="R508">
        <v>-21358.75</v>
      </c>
      <c r="S508" s="22">
        <v>-7.8651685393258425E-2</v>
      </c>
      <c r="T508" t="str" cm="1">
        <f t="array" ref="T508">_xlfn.SWITCH(TRUE,data[[#This Row],[Profit Margin]]&lt;0,"Negative",data[[#This Row],[Profit Margin]]&lt;0.1,"Low",data[[#This Row],[Profit Margin]]&lt;0.2,"Medium","High")</f>
        <v>Negative</v>
      </c>
    </row>
    <row r="509" spans="1:20" x14ac:dyDescent="0.35">
      <c r="A509">
        <v>508</v>
      </c>
      <c r="B509" s="1" t="s">
        <v>24</v>
      </c>
      <c r="C509" s="1" t="s">
        <v>19</v>
      </c>
      <c r="D509" s="1" t="s">
        <v>20</v>
      </c>
      <c r="E509" s="1" t="s">
        <v>49</v>
      </c>
      <c r="F509">
        <v>1560</v>
      </c>
      <c r="G509">
        <v>3</v>
      </c>
      <c r="H509">
        <v>15</v>
      </c>
      <c r="I509">
        <v>2574</v>
      </c>
      <c r="J509">
        <v>15600</v>
      </c>
      <c r="K509" s="2">
        <v>41579</v>
      </c>
      <c r="L509">
        <v>11</v>
      </c>
      <c r="M509" s="1" t="s">
        <v>41</v>
      </c>
      <c r="N509" s="1" t="s">
        <v>86</v>
      </c>
      <c r="O509">
        <v>2013</v>
      </c>
      <c r="P509">
        <v>23400</v>
      </c>
      <c r="Q509">
        <v>20826</v>
      </c>
      <c r="R509">
        <v>5226</v>
      </c>
      <c r="S509" s="22">
        <v>0.25093632958801498</v>
      </c>
      <c r="T509" t="str" cm="1">
        <f t="array" ref="T509">_xlfn.SWITCH(TRUE,data[[#This Row],[Profit Margin]]&lt;0,"Negative",data[[#This Row],[Profit Margin]]&lt;0.1,"Low",data[[#This Row],[Profit Margin]]&lt;0.2,"Medium","High")</f>
        <v>High</v>
      </c>
    </row>
    <row r="510" spans="1:20" x14ac:dyDescent="0.35">
      <c r="A510">
        <v>509</v>
      </c>
      <c r="B510" s="1" t="s">
        <v>18</v>
      </c>
      <c r="C510" s="1" t="s">
        <v>27</v>
      </c>
      <c r="D510" s="1" t="s">
        <v>20</v>
      </c>
      <c r="E510" s="1" t="s">
        <v>49</v>
      </c>
      <c r="F510">
        <v>2706</v>
      </c>
      <c r="G510">
        <v>3</v>
      </c>
      <c r="H510">
        <v>7</v>
      </c>
      <c r="I510">
        <v>2083.62</v>
      </c>
      <c r="J510">
        <v>13530</v>
      </c>
      <c r="K510" s="2">
        <v>41579</v>
      </c>
      <c r="L510">
        <v>11</v>
      </c>
      <c r="M510" s="1" t="s">
        <v>41</v>
      </c>
      <c r="N510" s="1" t="s">
        <v>86</v>
      </c>
      <c r="O510">
        <v>2013</v>
      </c>
      <c r="P510">
        <v>18942</v>
      </c>
      <c r="Q510">
        <v>16858.38</v>
      </c>
      <c r="R510">
        <v>3328.380000000001</v>
      </c>
      <c r="S510" s="22">
        <v>0.19743178170144468</v>
      </c>
      <c r="T510" t="str" cm="1">
        <f t="array" ref="T510">_xlfn.SWITCH(TRUE,data[[#This Row],[Profit Margin]]&lt;0,"Negative",data[[#This Row],[Profit Margin]]&lt;0.1,"Low",data[[#This Row],[Profit Margin]]&lt;0.2,"Medium","High")</f>
        <v>Medium</v>
      </c>
    </row>
    <row r="511" spans="1:20" x14ac:dyDescent="0.35">
      <c r="A511">
        <v>510</v>
      </c>
      <c r="B511" s="1" t="s">
        <v>18</v>
      </c>
      <c r="C511" s="1" t="s">
        <v>23</v>
      </c>
      <c r="D511" s="1" t="s">
        <v>29</v>
      </c>
      <c r="E511" s="1" t="s">
        <v>49</v>
      </c>
      <c r="F511">
        <v>766</v>
      </c>
      <c r="G511">
        <v>5</v>
      </c>
      <c r="H511">
        <v>350</v>
      </c>
      <c r="I511">
        <v>29491</v>
      </c>
      <c r="J511">
        <v>199160</v>
      </c>
      <c r="K511" s="2">
        <v>41640</v>
      </c>
      <c r="L511">
        <v>1</v>
      </c>
      <c r="M511" s="1" t="s">
        <v>22</v>
      </c>
      <c r="N511" s="1" t="s">
        <v>77</v>
      </c>
      <c r="O511">
        <v>2014</v>
      </c>
      <c r="P511">
        <v>268100</v>
      </c>
      <c r="Q511">
        <v>238609</v>
      </c>
      <c r="R511">
        <v>39449</v>
      </c>
      <c r="S511" s="22">
        <v>0.1653290529695024</v>
      </c>
      <c r="T511" t="str" cm="1">
        <f t="array" ref="T511">_xlfn.SWITCH(TRUE,data[[#This Row],[Profit Margin]]&lt;0,"Negative",data[[#This Row],[Profit Margin]]&lt;0.1,"Low",data[[#This Row],[Profit Margin]]&lt;0.2,"Medium","High")</f>
        <v>Medium</v>
      </c>
    </row>
    <row r="512" spans="1:20" x14ac:dyDescent="0.35">
      <c r="A512">
        <v>511</v>
      </c>
      <c r="B512" s="1" t="s">
        <v>18</v>
      </c>
      <c r="C512" s="1" t="s">
        <v>23</v>
      </c>
      <c r="D512" s="1" t="s">
        <v>29</v>
      </c>
      <c r="E512" s="1" t="s">
        <v>49</v>
      </c>
      <c r="F512">
        <v>2992</v>
      </c>
      <c r="G512">
        <v>5</v>
      </c>
      <c r="H512">
        <v>20</v>
      </c>
      <c r="I512">
        <v>6582.4</v>
      </c>
      <c r="J512">
        <v>29920</v>
      </c>
      <c r="K512" s="2">
        <v>41548</v>
      </c>
      <c r="L512">
        <v>10</v>
      </c>
      <c r="M512" s="1" t="s">
        <v>37</v>
      </c>
      <c r="N512" s="1" t="s">
        <v>84</v>
      </c>
      <c r="O512">
        <v>2013</v>
      </c>
      <c r="P512">
        <v>59840</v>
      </c>
      <c r="Q512">
        <v>53257.599999999999</v>
      </c>
      <c r="R512">
        <v>23337.599999999999</v>
      </c>
      <c r="S512" s="22">
        <v>0.4382022471910112</v>
      </c>
      <c r="T512" t="str" cm="1">
        <f t="array" ref="T512">_xlfn.SWITCH(TRUE,data[[#This Row],[Profit Margin]]&lt;0,"Negative",data[[#This Row],[Profit Margin]]&lt;0.1,"Low",data[[#This Row],[Profit Margin]]&lt;0.2,"Medium","High")</f>
        <v>High</v>
      </c>
    </row>
    <row r="513" spans="1:20" x14ac:dyDescent="0.35">
      <c r="A513">
        <v>512</v>
      </c>
      <c r="B513" s="1" t="s">
        <v>24</v>
      </c>
      <c r="C513" s="1" t="s">
        <v>27</v>
      </c>
      <c r="D513" s="1" t="s">
        <v>29</v>
      </c>
      <c r="E513" s="1" t="s">
        <v>49</v>
      </c>
      <c r="F513">
        <v>2157</v>
      </c>
      <c r="G513">
        <v>5</v>
      </c>
      <c r="H513">
        <v>15</v>
      </c>
      <c r="I513">
        <v>3559.05</v>
      </c>
      <c r="J513">
        <v>21570</v>
      </c>
      <c r="K513" s="2">
        <v>41974</v>
      </c>
      <c r="L513">
        <v>12</v>
      </c>
      <c r="M513" s="1" t="s">
        <v>28</v>
      </c>
      <c r="N513" s="1" t="s">
        <v>79</v>
      </c>
      <c r="O513">
        <v>2014</v>
      </c>
      <c r="P513">
        <v>32355</v>
      </c>
      <c r="Q513">
        <v>28795.95</v>
      </c>
      <c r="R513">
        <v>7225.9500000000007</v>
      </c>
      <c r="S513" s="22">
        <v>0.25093632958801498</v>
      </c>
      <c r="T513" t="str" cm="1">
        <f t="array" ref="T513">_xlfn.SWITCH(TRUE,data[[#This Row],[Profit Margin]]&lt;0,"Negative",data[[#This Row],[Profit Margin]]&lt;0.1,"Low",data[[#This Row],[Profit Margin]]&lt;0.2,"Medium","High")</f>
        <v>High</v>
      </c>
    </row>
    <row r="514" spans="1:20" x14ac:dyDescent="0.35">
      <c r="A514">
        <v>513</v>
      </c>
      <c r="B514" s="1" t="s">
        <v>34</v>
      </c>
      <c r="C514" s="1" t="s">
        <v>19</v>
      </c>
      <c r="D514" s="1" t="s">
        <v>39</v>
      </c>
      <c r="E514" s="1" t="s">
        <v>49</v>
      </c>
      <c r="F514">
        <v>873</v>
      </c>
      <c r="G514">
        <v>10</v>
      </c>
      <c r="H514">
        <v>300</v>
      </c>
      <c r="I514">
        <v>28809</v>
      </c>
      <c r="J514">
        <v>218250</v>
      </c>
      <c r="K514" s="2">
        <v>41640</v>
      </c>
      <c r="L514">
        <v>1</v>
      </c>
      <c r="M514" s="1" t="s">
        <v>22</v>
      </c>
      <c r="N514" s="1" t="s">
        <v>77</v>
      </c>
      <c r="O514">
        <v>2014</v>
      </c>
      <c r="P514">
        <v>261900</v>
      </c>
      <c r="Q514">
        <v>233091</v>
      </c>
      <c r="R514">
        <v>14841</v>
      </c>
      <c r="S514" s="22">
        <v>6.3670411985018729E-2</v>
      </c>
      <c r="T514" t="str" cm="1">
        <f t="array" ref="T514">_xlfn.SWITCH(TRUE,data[[#This Row],[Profit Margin]]&lt;0,"Negative",data[[#This Row],[Profit Margin]]&lt;0.1,"Low",data[[#This Row],[Profit Margin]]&lt;0.2,"Medium","High")</f>
        <v>Low</v>
      </c>
    </row>
    <row r="515" spans="1:20" x14ac:dyDescent="0.35">
      <c r="A515">
        <v>514</v>
      </c>
      <c r="B515" s="1" t="s">
        <v>18</v>
      </c>
      <c r="C515" s="1" t="s">
        <v>27</v>
      </c>
      <c r="D515" s="1" t="s">
        <v>39</v>
      </c>
      <c r="E515" s="1" t="s">
        <v>49</v>
      </c>
      <c r="F515">
        <v>1122</v>
      </c>
      <c r="G515">
        <v>10</v>
      </c>
      <c r="H515">
        <v>20</v>
      </c>
      <c r="I515">
        <v>2468.4</v>
      </c>
      <c r="J515">
        <v>11220</v>
      </c>
      <c r="K515" s="2">
        <v>41699</v>
      </c>
      <c r="L515">
        <v>3</v>
      </c>
      <c r="M515" s="1" t="s">
        <v>30</v>
      </c>
      <c r="N515" s="1" t="s">
        <v>80</v>
      </c>
      <c r="O515">
        <v>2014</v>
      </c>
      <c r="P515">
        <v>22440</v>
      </c>
      <c r="Q515">
        <v>19971.599999999999</v>
      </c>
      <c r="R515">
        <v>8751.5999999999985</v>
      </c>
      <c r="S515" s="22">
        <v>0.4382022471910112</v>
      </c>
      <c r="T515" t="str" cm="1">
        <f t="array" ref="T515">_xlfn.SWITCH(TRUE,data[[#This Row],[Profit Margin]]&lt;0,"Negative",data[[#This Row],[Profit Margin]]&lt;0.1,"Low",data[[#This Row],[Profit Margin]]&lt;0.2,"Medium","High")</f>
        <v>High</v>
      </c>
    </row>
    <row r="516" spans="1:20" x14ac:dyDescent="0.35">
      <c r="A516">
        <v>515</v>
      </c>
      <c r="B516" s="1" t="s">
        <v>18</v>
      </c>
      <c r="C516" s="1" t="s">
        <v>19</v>
      </c>
      <c r="D516" s="1" t="s">
        <v>39</v>
      </c>
      <c r="E516" s="1" t="s">
        <v>49</v>
      </c>
      <c r="F516">
        <v>2104.5</v>
      </c>
      <c r="G516">
        <v>10</v>
      </c>
      <c r="H516">
        <v>350</v>
      </c>
      <c r="I516">
        <v>81023.25</v>
      </c>
      <c r="J516">
        <v>547170</v>
      </c>
      <c r="K516" s="2">
        <v>41821</v>
      </c>
      <c r="L516">
        <v>7</v>
      </c>
      <c r="M516" s="1" t="s">
        <v>33</v>
      </c>
      <c r="N516" s="1" t="s">
        <v>81</v>
      </c>
      <c r="O516">
        <v>2014</v>
      </c>
      <c r="P516">
        <v>736575</v>
      </c>
      <c r="Q516">
        <v>655551.75</v>
      </c>
      <c r="R516">
        <v>108381.75</v>
      </c>
      <c r="S516" s="22">
        <v>0.1653290529695024</v>
      </c>
      <c r="T516" t="str" cm="1">
        <f t="array" ref="T516">_xlfn.SWITCH(TRUE,data[[#This Row],[Profit Margin]]&lt;0,"Negative",data[[#This Row],[Profit Margin]]&lt;0.1,"Low",data[[#This Row],[Profit Margin]]&lt;0.2,"Medium","High")</f>
        <v>Medium</v>
      </c>
    </row>
    <row r="517" spans="1:20" x14ac:dyDescent="0.35">
      <c r="A517">
        <v>516</v>
      </c>
      <c r="B517" s="1" t="s">
        <v>31</v>
      </c>
      <c r="C517" s="1" t="s">
        <v>19</v>
      </c>
      <c r="D517" s="1" t="s">
        <v>39</v>
      </c>
      <c r="E517" s="1" t="s">
        <v>49</v>
      </c>
      <c r="F517">
        <v>4026</v>
      </c>
      <c r="G517">
        <v>10</v>
      </c>
      <c r="H517">
        <v>12</v>
      </c>
      <c r="I517">
        <v>5314.32</v>
      </c>
      <c r="J517">
        <v>12078</v>
      </c>
      <c r="K517" s="2">
        <v>41821</v>
      </c>
      <c r="L517">
        <v>7</v>
      </c>
      <c r="M517" s="1" t="s">
        <v>33</v>
      </c>
      <c r="N517" s="1" t="s">
        <v>81</v>
      </c>
      <c r="O517">
        <v>2014</v>
      </c>
      <c r="P517">
        <v>48312</v>
      </c>
      <c r="Q517">
        <v>42997.68</v>
      </c>
      <c r="R517">
        <v>30919.68</v>
      </c>
      <c r="S517" s="22">
        <v>0.7191011235955056</v>
      </c>
      <c r="T517" t="str" cm="1">
        <f t="array" ref="T517">_xlfn.SWITCH(TRUE,data[[#This Row],[Profit Margin]]&lt;0,"Negative",data[[#This Row],[Profit Margin]]&lt;0.1,"Low",data[[#This Row],[Profit Margin]]&lt;0.2,"Medium","High")</f>
        <v>High</v>
      </c>
    </row>
    <row r="518" spans="1:20" x14ac:dyDescent="0.35">
      <c r="A518">
        <v>517</v>
      </c>
      <c r="B518" s="1" t="s">
        <v>31</v>
      </c>
      <c r="C518" s="1" t="s">
        <v>25</v>
      </c>
      <c r="D518" s="1" t="s">
        <v>39</v>
      </c>
      <c r="E518" s="1" t="s">
        <v>49</v>
      </c>
      <c r="F518">
        <v>2425.5</v>
      </c>
      <c r="G518">
        <v>10</v>
      </c>
      <c r="H518">
        <v>12</v>
      </c>
      <c r="I518">
        <v>3201.66</v>
      </c>
      <c r="J518">
        <v>7276.5</v>
      </c>
      <c r="K518" s="2">
        <v>41821</v>
      </c>
      <c r="L518">
        <v>7</v>
      </c>
      <c r="M518" s="1" t="s">
        <v>33</v>
      </c>
      <c r="N518" s="1" t="s">
        <v>81</v>
      </c>
      <c r="O518">
        <v>2014</v>
      </c>
      <c r="P518">
        <v>29106</v>
      </c>
      <c r="Q518">
        <v>25904.34</v>
      </c>
      <c r="R518">
        <v>18627.84</v>
      </c>
      <c r="S518" s="22">
        <v>0.7191011235955056</v>
      </c>
      <c r="T518" t="str" cm="1">
        <f t="array" ref="T518">_xlfn.SWITCH(TRUE,data[[#This Row],[Profit Margin]]&lt;0,"Negative",data[[#This Row],[Profit Margin]]&lt;0.1,"Low",data[[#This Row],[Profit Margin]]&lt;0.2,"Medium","High")</f>
        <v>High</v>
      </c>
    </row>
    <row r="519" spans="1:20" x14ac:dyDescent="0.35">
      <c r="A519">
        <v>518</v>
      </c>
      <c r="B519" s="1" t="s">
        <v>18</v>
      </c>
      <c r="C519" s="1" t="s">
        <v>19</v>
      </c>
      <c r="D519" s="1" t="s">
        <v>39</v>
      </c>
      <c r="E519" s="1" t="s">
        <v>49</v>
      </c>
      <c r="F519">
        <v>2394</v>
      </c>
      <c r="G519">
        <v>10</v>
      </c>
      <c r="H519">
        <v>20</v>
      </c>
      <c r="I519">
        <v>5266.8</v>
      </c>
      <c r="J519">
        <v>23940</v>
      </c>
      <c r="K519" s="2">
        <v>41852</v>
      </c>
      <c r="L519">
        <v>8</v>
      </c>
      <c r="M519" s="1" t="s">
        <v>35</v>
      </c>
      <c r="N519" s="1" t="s">
        <v>82</v>
      </c>
      <c r="O519">
        <v>2014</v>
      </c>
      <c r="P519">
        <v>47880</v>
      </c>
      <c r="Q519">
        <v>42613.2</v>
      </c>
      <c r="R519">
        <v>18673.199999999997</v>
      </c>
      <c r="S519" s="22">
        <v>0.4382022471910112</v>
      </c>
      <c r="T519" t="str" cm="1">
        <f t="array" ref="T519">_xlfn.SWITCH(TRUE,data[[#This Row],[Profit Margin]]&lt;0,"Negative",data[[#This Row],[Profit Margin]]&lt;0.1,"Low",data[[#This Row],[Profit Margin]]&lt;0.2,"Medium","High")</f>
        <v>High</v>
      </c>
    </row>
    <row r="520" spans="1:20" x14ac:dyDescent="0.35">
      <c r="A520">
        <v>519</v>
      </c>
      <c r="B520" s="1" t="s">
        <v>24</v>
      </c>
      <c r="C520" s="1" t="s">
        <v>27</v>
      </c>
      <c r="D520" s="1" t="s">
        <v>39</v>
      </c>
      <c r="E520" s="1" t="s">
        <v>49</v>
      </c>
      <c r="F520">
        <v>1984</v>
      </c>
      <c r="G520">
        <v>10</v>
      </c>
      <c r="H520">
        <v>15</v>
      </c>
      <c r="I520">
        <v>3273.6</v>
      </c>
      <c r="J520">
        <v>19840</v>
      </c>
      <c r="K520" s="2">
        <v>41852</v>
      </c>
      <c r="L520">
        <v>8</v>
      </c>
      <c r="M520" s="1" t="s">
        <v>35</v>
      </c>
      <c r="N520" s="1" t="s">
        <v>82</v>
      </c>
      <c r="O520">
        <v>2014</v>
      </c>
      <c r="P520">
        <v>29760</v>
      </c>
      <c r="Q520">
        <v>26486.400000000001</v>
      </c>
      <c r="R520">
        <v>6646.4000000000015</v>
      </c>
      <c r="S520" s="22">
        <v>0.25093632958801504</v>
      </c>
      <c r="T520" t="str" cm="1">
        <f t="array" ref="T520">_xlfn.SWITCH(TRUE,data[[#This Row],[Profit Margin]]&lt;0,"Negative",data[[#This Row],[Profit Margin]]&lt;0.1,"Low",data[[#This Row],[Profit Margin]]&lt;0.2,"Medium","High")</f>
        <v>High</v>
      </c>
    </row>
    <row r="521" spans="1:20" x14ac:dyDescent="0.35">
      <c r="A521">
        <v>520</v>
      </c>
      <c r="B521" s="1" t="s">
        <v>32</v>
      </c>
      <c r="C521" s="1" t="s">
        <v>25</v>
      </c>
      <c r="D521" s="1" t="s">
        <v>39</v>
      </c>
      <c r="E521" s="1" t="s">
        <v>49</v>
      </c>
      <c r="F521">
        <v>2441</v>
      </c>
      <c r="G521">
        <v>10</v>
      </c>
      <c r="H521">
        <v>125</v>
      </c>
      <c r="I521">
        <v>33563.75</v>
      </c>
      <c r="J521">
        <v>292920</v>
      </c>
      <c r="K521" s="2">
        <v>41913</v>
      </c>
      <c r="L521">
        <v>10</v>
      </c>
      <c r="M521" s="1" t="s">
        <v>37</v>
      </c>
      <c r="N521" s="1" t="s">
        <v>84</v>
      </c>
      <c r="O521">
        <v>2014</v>
      </c>
      <c r="P521">
        <v>305125</v>
      </c>
      <c r="Q521">
        <v>271561.25</v>
      </c>
      <c r="R521">
        <v>-21358.75</v>
      </c>
      <c r="S521" s="22">
        <v>-7.8651685393258425E-2</v>
      </c>
      <c r="T521" t="str" cm="1">
        <f t="array" ref="T521">_xlfn.SWITCH(TRUE,data[[#This Row],[Profit Margin]]&lt;0,"Negative",data[[#This Row],[Profit Margin]]&lt;0.1,"Low",data[[#This Row],[Profit Margin]]&lt;0.2,"Medium","High")</f>
        <v>Negative</v>
      </c>
    </row>
    <row r="522" spans="1:20" x14ac:dyDescent="0.35">
      <c r="A522">
        <v>521</v>
      </c>
      <c r="B522" s="1" t="s">
        <v>18</v>
      </c>
      <c r="C522" s="1" t="s">
        <v>23</v>
      </c>
      <c r="D522" s="1" t="s">
        <v>39</v>
      </c>
      <c r="E522" s="1" t="s">
        <v>49</v>
      </c>
      <c r="F522">
        <v>2992</v>
      </c>
      <c r="G522">
        <v>10</v>
      </c>
      <c r="H522">
        <v>20</v>
      </c>
      <c r="I522">
        <v>6582.4</v>
      </c>
      <c r="J522">
        <v>29920</v>
      </c>
      <c r="K522" s="2">
        <v>41548</v>
      </c>
      <c r="L522">
        <v>10</v>
      </c>
      <c r="M522" s="1" t="s">
        <v>37</v>
      </c>
      <c r="N522" s="1" t="s">
        <v>84</v>
      </c>
      <c r="O522">
        <v>2013</v>
      </c>
      <c r="P522">
        <v>59840</v>
      </c>
      <c r="Q522">
        <v>53257.599999999999</v>
      </c>
      <c r="R522">
        <v>23337.599999999999</v>
      </c>
      <c r="S522" s="22">
        <v>0.4382022471910112</v>
      </c>
      <c r="T522" t="str" cm="1">
        <f t="array" ref="T522">_xlfn.SWITCH(TRUE,data[[#This Row],[Profit Margin]]&lt;0,"Negative",data[[#This Row],[Profit Margin]]&lt;0.1,"Low",data[[#This Row],[Profit Margin]]&lt;0.2,"Medium","High")</f>
        <v>High</v>
      </c>
    </row>
    <row r="523" spans="1:20" x14ac:dyDescent="0.35">
      <c r="A523">
        <v>522</v>
      </c>
      <c r="B523" s="1" t="s">
        <v>34</v>
      </c>
      <c r="C523" s="1" t="s">
        <v>19</v>
      </c>
      <c r="D523" s="1" t="s">
        <v>39</v>
      </c>
      <c r="E523" s="1" t="s">
        <v>49</v>
      </c>
      <c r="F523">
        <v>1366</v>
      </c>
      <c r="G523">
        <v>10</v>
      </c>
      <c r="H523">
        <v>300</v>
      </c>
      <c r="I523">
        <v>45078</v>
      </c>
      <c r="J523">
        <v>341500</v>
      </c>
      <c r="K523" s="2">
        <v>41944</v>
      </c>
      <c r="L523">
        <v>11</v>
      </c>
      <c r="M523" s="1" t="s">
        <v>41</v>
      </c>
      <c r="N523" s="1" t="s">
        <v>86</v>
      </c>
      <c r="O523">
        <v>2014</v>
      </c>
      <c r="P523">
        <v>409800</v>
      </c>
      <c r="Q523">
        <v>364722</v>
      </c>
      <c r="R523">
        <v>23222</v>
      </c>
      <c r="S523" s="22">
        <v>6.3670411985018729E-2</v>
      </c>
      <c r="T523" t="str" cm="1">
        <f t="array" ref="T523">_xlfn.SWITCH(TRUE,data[[#This Row],[Profit Margin]]&lt;0,"Negative",data[[#This Row],[Profit Margin]]&lt;0.1,"Low",data[[#This Row],[Profit Margin]]&lt;0.2,"Medium","High")</f>
        <v>Low</v>
      </c>
    </row>
    <row r="524" spans="1:20" x14ac:dyDescent="0.35">
      <c r="A524">
        <v>523</v>
      </c>
      <c r="B524" s="1" t="s">
        <v>18</v>
      </c>
      <c r="C524" s="1" t="s">
        <v>25</v>
      </c>
      <c r="D524" s="1" t="s">
        <v>42</v>
      </c>
      <c r="E524" s="1" t="s">
        <v>49</v>
      </c>
      <c r="F524">
        <v>2805</v>
      </c>
      <c r="G524">
        <v>120</v>
      </c>
      <c r="H524">
        <v>20</v>
      </c>
      <c r="I524">
        <v>6171</v>
      </c>
      <c r="J524">
        <v>28050</v>
      </c>
      <c r="K524" s="2">
        <v>41518</v>
      </c>
      <c r="L524">
        <v>9</v>
      </c>
      <c r="M524" s="1" t="s">
        <v>36</v>
      </c>
      <c r="N524" s="1" t="s">
        <v>83</v>
      </c>
      <c r="O524">
        <v>2013</v>
      </c>
      <c r="P524">
        <v>56100</v>
      </c>
      <c r="Q524">
        <v>49929</v>
      </c>
      <c r="R524">
        <v>21879</v>
      </c>
      <c r="S524" s="22">
        <v>0.43820224719101125</v>
      </c>
      <c r="T524" t="str" cm="1">
        <f t="array" ref="T524">_xlfn.SWITCH(TRUE,data[[#This Row],[Profit Margin]]&lt;0,"Negative",data[[#This Row],[Profit Margin]]&lt;0.1,"Low",data[[#This Row],[Profit Margin]]&lt;0.2,"Medium","High")</f>
        <v>High</v>
      </c>
    </row>
    <row r="525" spans="1:20" x14ac:dyDescent="0.35">
      <c r="A525">
        <v>524</v>
      </c>
      <c r="B525" s="1" t="s">
        <v>24</v>
      </c>
      <c r="C525" s="1" t="s">
        <v>27</v>
      </c>
      <c r="D525" s="1" t="s">
        <v>42</v>
      </c>
      <c r="E525" s="1" t="s">
        <v>49</v>
      </c>
      <c r="F525">
        <v>655</v>
      </c>
      <c r="G525">
        <v>120</v>
      </c>
      <c r="H525">
        <v>15</v>
      </c>
      <c r="I525">
        <v>1080.75</v>
      </c>
      <c r="J525">
        <v>6550</v>
      </c>
      <c r="K525" s="2">
        <v>41518</v>
      </c>
      <c r="L525">
        <v>9</v>
      </c>
      <c r="M525" s="1" t="s">
        <v>36</v>
      </c>
      <c r="N525" s="1" t="s">
        <v>83</v>
      </c>
      <c r="O525">
        <v>2013</v>
      </c>
      <c r="P525">
        <v>9825</v>
      </c>
      <c r="Q525">
        <v>8744.25</v>
      </c>
      <c r="R525">
        <v>2194.25</v>
      </c>
      <c r="S525" s="22">
        <v>0.25093632958801498</v>
      </c>
      <c r="T525" t="str" cm="1">
        <f t="array" ref="T525">_xlfn.SWITCH(TRUE,data[[#This Row],[Profit Margin]]&lt;0,"Negative",data[[#This Row],[Profit Margin]]&lt;0.1,"Low",data[[#This Row],[Profit Margin]]&lt;0.2,"Medium","High")</f>
        <v>High</v>
      </c>
    </row>
    <row r="526" spans="1:20" x14ac:dyDescent="0.35">
      <c r="A526">
        <v>525</v>
      </c>
      <c r="B526" s="1" t="s">
        <v>18</v>
      </c>
      <c r="C526" s="1" t="s">
        <v>27</v>
      </c>
      <c r="D526" s="1" t="s">
        <v>42</v>
      </c>
      <c r="E526" s="1" t="s">
        <v>49</v>
      </c>
      <c r="F526">
        <v>344</v>
      </c>
      <c r="G526">
        <v>120</v>
      </c>
      <c r="H526">
        <v>350</v>
      </c>
      <c r="I526">
        <v>13244</v>
      </c>
      <c r="J526">
        <v>89440</v>
      </c>
      <c r="K526" s="2">
        <v>41548</v>
      </c>
      <c r="L526">
        <v>10</v>
      </c>
      <c r="M526" s="1" t="s">
        <v>37</v>
      </c>
      <c r="N526" s="1" t="s">
        <v>84</v>
      </c>
      <c r="O526">
        <v>2013</v>
      </c>
      <c r="P526">
        <v>120400</v>
      </c>
      <c r="Q526">
        <v>107156</v>
      </c>
      <c r="R526">
        <v>17716</v>
      </c>
      <c r="S526" s="22">
        <v>0.1653290529695024</v>
      </c>
      <c r="T526" t="str" cm="1">
        <f t="array" ref="T526">_xlfn.SWITCH(TRUE,data[[#This Row],[Profit Margin]]&lt;0,"Negative",data[[#This Row],[Profit Margin]]&lt;0.1,"Low",data[[#This Row],[Profit Margin]]&lt;0.2,"Medium","High")</f>
        <v>Medium</v>
      </c>
    </row>
    <row r="527" spans="1:20" x14ac:dyDescent="0.35">
      <c r="A527">
        <v>526</v>
      </c>
      <c r="B527" s="1" t="s">
        <v>18</v>
      </c>
      <c r="C527" s="1" t="s">
        <v>19</v>
      </c>
      <c r="D527" s="1" t="s">
        <v>42</v>
      </c>
      <c r="E527" s="1" t="s">
        <v>49</v>
      </c>
      <c r="F527">
        <v>1808</v>
      </c>
      <c r="G527">
        <v>120</v>
      </c>
      <c r="H527">
        <v>7</v>
      </c>
      <c r="I527">
        <v>1392.16</v>
      </c>
      <c r="J527">
        <v>9040</v>
      </c>
      <c r="K527" s="2">
        <v>41944</v>
      </c>
      <c r="L527">
        <v>11</v>
      </c>
      <c r="M527" s="1" t="s">
        <v>41</v>
      </c>
      <c r="N527" s="1" t="s">
        <v>86</v>
      </c>
      <c r="O527">
        <v>2014</v>
      </c>
      <c r="P527">
        <v>12656</v>
      </c>
      <c r="Q527">
        <v>11263.84</v>
      </c>
      <c r="R527">
        <v>2223.84</v>
      </c>
      <c r="S527" s="22">
        <v>0.19743178170144463</v>
      </c>
      <c r="T527" t="str" cm="1">
        <f t="array" ref="T527">_xlfn.SWITCH(TRUE,data[[#This Row],[Profit Margin]]&lt;0,"Negative",data[[#This Row],[Profit Margin]]&lt;0.1,"Low",data[[#This Row],[Profit Margin]]&lt;0.2,"Medium","High")</f>
        <v>Medium</v>
      </c>
    </row>
    <row r="528" spans="1:20" x14ac:dyDescent="0.35">
      <c r="A528">
        <v>527</v>
      </c>
      <c r="B528" s="1" t="s">
        <v>31</v>
      </c>
      <c r="C528" s="1" t="s">
        <v>25</v>
      </c>
      <c r="D528" s="1" t="s">
        <v>43</v>
      </c>
      <c r="E528" s="1" t="s">
        <v>49</v>
      </c>
      <c r="F528">
        <v>1734</v>
      </c>
      <c r="G528">
        <v>250</v>
      </c>
      <c r="H528">
        <v>12</v>
      </c>
      <c r="I528">
        <v>2288.88</v>
      </c>
      <c r="J528">
        <v>5202</v>
      </c>
      <c r="K528" s="2">
        <v>41640</v>
      </c>
      <c r="L528">
        <v>1</v>
      </c>
      <c r="M528" s="1" t="s">
        <v>22</v>
      </c>
      <c r="N528" s="1" t="s">
        <v>77</v>
      </c>
      <c r="O528">
        <v>2014</v>
      </c>
      <c r="P528">
        <v>20808</v>
      </c>
      <c r="Q528">
        <v>18519.12</v>
      </c>
      <c r="R528">
        <v>13317.119999999999</v>
      </c>
      <c r="S528" s="22">
        <v>0.7191011235955056</v>
      </c>
      <c r="T528" t="str" cm="1">
        <f t="array" ref="T528">_xlfn.SWITCH(TRUE,data[[#This Row],[Profit Margin]]&lt;0,"Negative",data[[#This Row],[Profit Margin]]&lt;0.1,"Low",data[[#This Row],[Profit Margin]]&lt;0.2,"Medium","High")</f>
        <v>High</v>
      </c>
    </row>
    <row r="529" spans="1:20" x14ac:dyDescent="0.35">
      <c r="A529">
        <v>528</v>
      </c>
      <c r="B529" s="1" t="s">
        <v>32</v>
      </c>
      <c r="C529" s="1" t="s">
        <v>27</v>
      </c>
      <c r="D529" s="1" t="s">
        <v>43</v>
      </c>
      <c r="E529" s="1" t="s">
        <v>49</v>
      </c>
      <c r="F529">
        <v>554</v>
      </c>
      <c r="G529">
        <v>250</v>
      </c>
      <c r="H529">
        <v>125</v>
      </c>
      <c r="I529">
        <v>7617.5</v>
      </c>
      <c r="J529">
        <v>66480</v>
      </c>
      <c r="K529" s="2">
        <v>41640</v>
      </c>
      <c r="L529">
        <v>1</v>
      </c>
      <c r="M529" s="1" t="s">
        <v>22</v>
      </c>
      <c r="N529" s="1" t="s">
        <v>77</v>
      </c>
      <c r="O529">
        <v>2014</v>
      </c>
      <c r="P529">
        <v>69250</v>
      </c>
      <c r="Q529">
        <v>61632.5</v>
      </c>
      <c r="R529">
        <v>-4847.5</v>
      </c>
      <c r="S529" s="22">
        <v>-7.8651685393258425E-2</v>
      </c>
      <c r="T529" t="str" cm="1">
        <f t="array" ref="T529">_xlfn.SWITCH(TRUE,data[[#This Row],[Profit Margin]]&lt;0,"Negative",data[[#This Row],[Profit Margin]]&lt;0.1,"Low",data[[#This Row],[Profit Margin]]&lt;0.2,"Medium","High")</f>
        <v>Negative</v>
      </c>
    </row>
    <row r="530" spans="1:20" x14ac:dyDescent="0.35">
      <c r="A530">
        <v>529</v>
      </c>
      <c r="B530" s="1" t="s">
        <v>18</v>
      </c>
      <c r="C530" s="1" t="s">
        <v>19</v>
      </c>
      <c r="D530" s="1" t="s">
        <v>43</v>
      </c>
      <c r="E530" s="1" t="s">
        <v>49</v>
      </c>
      <c r="F530">
        <v>2935</v>
      </c>
      <c r="G530">
        <v>250</v>
      </c>
      <c r="H530">
        <v>20</v>
      </c>
      <c r="I530">
        <v>6457</v>
      </c>
      <c r="J530">
        <v>29350</v>
      </c>
      <c r="K530" s="2">
        <v>41579</v>
      </c>
      <c r="L530">
        <v>11</v>
      </c>
      <c r="M530" s="1" t="s">
        <v>41</v>
      </c>
      <c r="N530" s="1" t="s">
        <v>86</v>
      </c>
      <c r="O530">
        <v>2013</v>
      </c>
      <c r="P530">
        <v>58700</v>
      </c>
      <c r="Q530">
        <v>52243</v>
      </c>
      <c r="R530">
        <v>22893</v>
      </c>
      <c r="S530" s="22">
        <v>0.43820224719101125</v>
      </c>
      <c r="T530" t="str" cm="1">
        <f t="array" ref="T530">_xlfn.SWITCH(TRUE,data[[#This Row],[Profit Margin]]&lt;0,"Negative",data[[#This Row],[Profit Margin]]&lt;0.1,"Low",data[[#This Row],[Profit Margin]]&lt;0.2,"Medium","High")</f>
        <v>High</v>
      </c>
    </row>
    <row r="531" spans="1:20" x14ac:dyDescent="0.35">
      <c r="A531">
        <v>530</v>
      </c>
      <c r="B531" s="1" t="s">
        <v>32</v>
      </c>
      <c r="C531" s="1" t="s">
        <v>23</v>
      </c>
      <c r="D531" s="1" t="s">
        <v>45</v>
      </c>
      <c r="E531" s="1" t="s">
        <v>49</v>
      </c>
      <c r="F531">
        <v>3165</v>
      </c>
      <c r="G531">
        <v>260</v>
      </c>
      <c r="H531">
        <v>125</v>
      </c>
      <c r="I531">
        <v>43518.75</v>
      </c>
      <c r="J531">
        <v>379800</v>
      </c>
      <c r="K531" s="2">
        <v>41640</v>
      </c>
      <c r="L531">
        <v>1</v>
      </c>
      <c r="M531" s="1" t="s">
        <v>22</v>
      </c>
      <c r="N531" s="1" t="s">
        <v>77</v>
      </c>
      <c r="O531">
        <v>2014</v>
      </c>
      <c r="P531">
        <v>395625</v>
      </c>
      <c r="Q531">
        <v>352106.25</v>
      </c>
      <c r="R531">
        <v>-27693.75</v>
      </c>
      <c r="S531" s="22">
        <v>-7.8651685393258425E-2</v>
      </c>
      <c r="T531" t="str" cm="1">
        <f t="array" ref="T531">_xlfn.SWITCH(TRUE,data[[#This Row],[Profit Margin]]&lt;0,"Negative",data[[#This Row],[Profit Margin]]&lt;0.1,"Low",data[[#This Row],[Profit Margin]]&lt;0.2,"Medium","High")</f>
        <v>Negative</v>
      </c>
    </row>
    <row r="532" spans="1:20" x14ac:dyDescent="0.35">
      <c r="A532">
        <v>531</v>
      </c>
      <c r="B532" s="1" t="s">
        <v>18</v>
      </c>
      <c r="C532" s="1" t="s">
        <v>27</v>
      </c>
      <c r="D532" s="1" t="s">
        <v>45</v>
      </c>
      <c r="E532" s="1" t="s">
        <v>49</v>
      </c>
      <c r="F532">
        <v>2629</v>
      </c>
      <c r="G532">
        <v>260</v>
      </c>
      <c r="H532">
        <v>20</v>
      </c>
      <c r="I532">
        <v>5783.8</v>
      </c>
      <c r="J532">
        <v>26290</v>
      </c>
      <c r="K532" s="2">
        <v>41640</v>
      </c>
      <c r="L532">
        <v>1</v>
      </c>
      <c r="M532" s="1" t="s">
        <v>22</v>
      </c>
      <c r="N532" s="1" t="s">
        <v>77</v>
      </c>
      <c r="O532">
        <v>2014</v>
      </c>
      <c r="P532">
        <v>52580</v>
      </c>
      <c r="Q532">
        <v>46796.2</v>
      </c>
      <c r="R532">
        <v>20506.199999999997</v>
      </c>
      <c r="S532" s="22">
        <v>0.4382022471910112</v>
      </c>
      <c r="T532" t="str" cm="1">
        <f t="array" ref="T532">_xlfn.SWITCH(TRUE,data[[#This Row],[Profit Margin]]&lt;0,"Negative",data[[#This Row],[Profit Margin]]&lt;0.1,"Low",data[[#This Row],[Profit Margin]]&lt;0.2,"Medium","High")</f>
        <v>High</v>
      </c>
    </row>
    <row r="533" spans="1:20" x14ac:dyDescent="0.35">
      <c r="A533">
        <v>532</v>
      </c>
      <c r="B533" s="1" t="s">
        <v>32</v>
      </c>
      <c r="C533" s="1" t="s">
        <v>25</v>
      </c>
      <c r="D533" s="1" t="s">
        <v>45</v>
      </c>
      <c r="E533" s="1" t="s">
        <v>49</v>
      </c>
      <c r="F533">
        <v>1433</v>
      </c>
      <c r="G533">
        <v>260</v>
      </c>
      <c r="H533">
        <v>125</v>
      </c>
      <c r="I533">
        <v>19703.75</v>
      </c>
      <c r="J533">
        <v>171960</v>
      </c>
      <c r="K533" s="2">
        <v>41760</v>
      </c>
      <c r="L533">
        <v>5</v>
      </c>
      <c r="M533" s="1" t="s">
        <v>47</v>
      </c>
      <c r="N533" s="1" t="s">
        <v>47</v>
      </c>
      <c r="O533">
        <v>2014</v>
      </c>
      <c r="P533">
        <v>179125</v>
      </c>
      <c r="Q533">
        <v>159421.25</v>
      </c>
      <c r="R533">
        <v>-12538.75</v>
      </c>
      <c r="S533" s="22">
        <v>-7.8651685393258425E-2</v>
      </c>
      <c r="T533" t="str" cm="1">
        <f t="array" ref="T533">_xlfn.SWITCH(TRUE,data[[#This Row],[Profit Margin]]&lt;0,"Negative",data[[#This Row],[Profit Margin]]&lt;0.1,"Low",data[[#This Row],[Profit Margin]]&lt;0.2,"Medium","High")</f>
        <v>Negative</v>
      </c>
    </row>
    <row r="534" spans="1:20" x14ac:dyDescent="0.35">
      <c r="A534">
        <v>533</v>
      </c>
      <c r="B534" s="1" t="s">
        <v>32</v>
      </c>
      <c r="C534" s="1" t="s">
        <v>27</v>
      </c>
      <c r="D534" s="1" t="s">
        <v>45</v>
      </c>
      <c r="E534" s="1" t="s">
        <v>49</v>
      </c>
      <c r="F534">
        <v>947</v>
      </c>
      <c r="G534">
        <v>260</v>
      </c>
      <c r="H534">
        <v>125</v>
      </c>
      <c r="I534">
        <v>13021.25</v>
      </c>
      <c r="J534">
        <v>113640</v>
      </c>
      <c r="K534" s="2">
        <v>41518</v>
      </c>
      <c r="L534">
        <v>9</v>
      </c>
      <c r="M534" s="1" t="s">
        <v>36</v>
      </c>
      <c r="N534" s="1" t="s">
        <v>83</v>
      </c>
      <c r="O534">
        <v>2013</v>
      </c>
      <c r="P534">
        <v>118375</v>
      </c>
      <c r="Q534">
        <v>105353.75</v>
      </c>
      <c r="R534">
        <v>-8286.25</v>
      </c>
      <c r="S534" s="22">
        <v>-7.8651685393258425E-2</v>
      </c>
      <c r="T534" t="str" cm="1">
        <f t="array" ref="T534">_xlfn.SWITCH(TRUE,data[[#This Row],[Profit Margin]]&lt;0,"Negative",data[[#This Row],[Profit Margin]]&lt;0.1,"Low",data[[#This Row],[Profit Margin]]&lt;0.2,"Medium","High")</f>
        <v>Negative</v>
      </c>
    </row>
    <row r="535" spans="1:20" x14ac:dyDescent="0.35">
      <c r="A535">
        <v>534</v>
      </c>
      <c r="B535" s="1" t="s">
        <v>18</v>
      </c>
      <c r="C535" s="1" t="s">
        <v>27</v>
      </c>
      <c r="D535" s="1" t="s">
        <v>45</v>
      </c>
      <c r="E535" s="1" t="s">
        <v>49</v>
      </c>
      <c r="F535">
        <v>344</v>
      </c>
      <c r="G535">
        <v>260</v>
      </c>
      <c r="H535">
        <v>350</v>
      </c>
      <c r="I535">
        <v>13244</v>
      </c>
      <c r="J535">
        <v>89440</v>
      </c>
      <c r="K535" s="2">
        <v>41548</v>
      </c>
      <c r="L535">
        <v>10</v>
      </c>
      <c r="M535" s="1" t="s">
        <v>37</v>
      </c>
      <c r="N535" s="1" t="s">
        <v>84</v>
      </c>
      <c r="O535">
        <v>2013</v>
      </c>
      <c r="P535">
        <v>120400</v>
      </c>
      <c r="Q535">
        <v>107156</v>
      </c>
      <c r="R535">
        <v>17716</v>
      </c>
      <c r="S535" s="22">
        <v>0.1653290529695024</v>
      </c>
      <c r="T535" t="str" cm="1">
        <f t="array" ref="T535">_xlfn.SWITCH(TRUE,data[[#This Row],[Profit Margin]]&lt;0,"Negative",data[[#This Row],[Profit Margin]]&lt;0.1,"Low",data[[#This Row],[Profit Margin]]&lt;0.2,"Medium","High")</f>
        <v>Medium</v>
      </c>
    </row>
    <row r="536" spans="1:20" x14ac:dyDescent="0.35">
      <c r="A536">
        <v>535</v>
      </c>
      <c r="B536" s="1" t="s">
        <v>24</v>
      </c>
      <c r="C536" s="1" t="s">
        <v>27</v>
      </c>
      <c r="D536" s="1" t="s">
        <v>45</v>
      </c>
      <c r="E536" s="1" t="s">
        <v>49</v>
      </c>
      <c r="F536">
        <v>2157</v>
      </c>
      <c r="G536">
        <v>260</v>
      </c>
      <c r="H536">
        <v>15</v>
      </c>
      <c r="I536">
        <v>3559.05</v>
      </c>
      <c r="J536">
        <v>21570</v>
      </c>
      <c r="K536" s="2">
        <v>41974</v>
      </c>
      <c r="L536">
        <v>12</v>
      </c>
      <c r="M536" s="1" t="s">
        <v>28</v>
      </c>
      <c r="N536" s="1" t="s">
        <v>79</v>
      </c>
      <c r="O536">
        <v>2014</v>
      </c>
      <c r="P536">
        <v>32355</v>
      </c>
      <c r="Q536">
        <v>28795.95</v>
      </c>
      <c r="R536">
        <v>7225.9500000000007</v>
      </c>
      <c r="S536" s="22">
        <v>0.25093632958801498</v>
      </c>
      <c r="T536" t="str" cm="1">
        <f t="array" ref="T536">_xlfn.SWITCH(TRUE,data[[#This Row],[Profit Margin]]&lt;0,"Negative",data[[#This Row],[Profit Margin]]&lt;0.1,"Low",data[[#This Row],[Profit Margin]]&lt;0.2,"Medium","High")</f>
        <v>High</v>
      </c>
    </row>
    <row r="537" spans="1:20" x14ac:dyDescent="0.35">
      <c r="A537">
        <v>536</v>
      </c>
      <c r="B537" s="1" t="s">
        <v>18</v>
      </c>
      <c r="C537" s="1" t="s">
        <v>38</v>
      </c>
      <c r="D537" s="1" t="s">
        <v>39</v>
      </c>
      <c r="E537" s="1" t="s">
        <v>49</v>
      </c>
      <c r="F537">
        <v>380</v>
      </c>
      <c r="G537">
        <v>10</v>
      </c>
      <c r="H537">
        <v>7</v>
      </c>
      <c r="I537">
        <v>292.60000000000002</v>
      </c>
      <c r="J537">
        <v>1900</v>
      </c>
      <c r="K537" s="2">
        <v>41518</v>
      </c>
      <c r="L537">
        <v>9</v>
      </c>
      <c r="M537" s="1" t="s">
        <v>36</v>
      </c>
      <c r="N537" s="1" t="s">
        <v>83</v>
      </c>
      <c r="O537">
        <v>2013</v>
      </c>
      <c r="P537">
        <v>2660</v>
      </c>
      <c r="Q537">
        <v>2367.4</v>
      </c>
      <c r="R537">
        <v>467.40000000000009</v>
      </c>
      <c r="S537" s="22">
        <v>0.19743178170144465</v>
      </c>
      <c r="T537" t="str" cm="1">
        <f t="array" ref="T537">_xlfn.SWITCH(TRUE,data[[#This Row],[Profit Margin]]&lt;0,"Negative",data[[#This Row],[Profit Margin]]&lt;0.1,"Low",data[[#This Row],[Profit Margin]]&lt;0.2,"Medium","High")</f>
        <v>Medium</v>
      </c>
    </row>
    <row r="538" spans="1:20" x14ac:dyDescent="0.35">
      <c r="A538">
        <v>537</v>
      </c>
      <c r="B538" s="1" t="s">
        <v>18</v>
      </c>
      <c r="C538" s="1" t="s">
        <v>27</v>
      </c>
      <c r="D538" s="1" t="s">
        <v>20</v>
      </c>
      <c r="E538" s="1" t="s">
        <v>49</v>
      </c>
      <c r="F538">
        <v>886</v>
      </c>
      <c r="G538">
        <v>3</v>
      </c>
      <c r="H538">
        <v>350</v>
      </c>
      <c r="I538">
        <v>37212</v>
      </c>
      <c r="J538">
        <v>230360</v>
      </c>
      <c r="K538" s="2">
        <v>41791</v>
      </c>
      <c r="L538">
        <v>6</v>
      </c>
      <c r="M538" s="1" t="s">
        <v>26</v>
      </c>
      <c r="N538" s="1" t="s">
        <v>78</v>
      </c>
      <c r="O538">
        <v>2014</v>
      </c>
      <c r="P538">
        <v>310100</v>
      </c>
      <c r="Q538">
        <v>272888</v>
      </c>
      <c r="R538">
        <v>42528</v>
      </c>
      <c r="S538" s="22">
        <v>0.15584415584415584</v>
      </c>
      <c r="T538" t="str" cm="1">
        <f t="array" ref="T538">_xlfn.SWITCH(TRUE,data[[#This Row],[Profit Margin]]&lt;0,"Negative",data[[#This Row],[Profit Margin]]&lt;0.1,"Low",data[[#This Row],[Profit Margin]]&lt;0.2,"Medium","High")</f>
        <v>Medium</v>
      </c>
    </row>
    <row r="539" spans="1:20" x14ac:dyDescent="0.35">
      <c r="A539">
        <v>538</v>
      </c>
      <c r="B539" s="1" t="s">
        <v>32</v>
      </c>
      <c r="C539" s="1" t="s">
        <v>19</v>
      </c>
      <c r="D539" s="1" t="s">
        <v>20</v>
      </c>
      <c r="E539" s="1" t="s">
        <v>49</v>
      </c>
      <c r="F539">
        <v>2416</v>
      </c>
      <c r="G539">
        <v>3</v>
      </c>
      <c r="H539">
        <v>125</v>
      </c>
      <c r="I539">
        <v>36240</v>
      </c>
      <c r="J539">
        <v>289920</v>
      </c>
      <c r="K539" s="2">
        <v>41518</v>
      </c>
      <c r="L539">
        <v>9</v>
      </c>
      <c r="M539" s="1" t="s">
        <v>36</v>
      </c>
      <c r="N539" s="1" t="s">
        <v>83</v>
      </c>
      <c r="O539">
        <v>2013</v>
      </c>
      <c r="P539">
        <v>302000</v>
      </c>
      <c r="Q539">
        <v>265760</v>
      </c>
      <c r="R539">
        <v>-24160</v>
      </c>
      <c r="S539" s="22">
        <v>-9.0909090909090912E-2</v>
      </c>
      <c r="T539" t="str" cm="1">
        <f t="array" ref="T539">_xlfn.SWITCH(TRUE,data[[#This Row],[Profit Margin]]&lt;0,"Negative",data[[#This Row],[Profit Margin]]&lt;0.1,"Low",data[[#This Row],[Profit Margin]]&lt;0.2,"Medium","High")</f>
        <v>Negative</v>
      </c>
    </row>
    <row r="540" spans="1:20" x14ac:dyDescent="0.35">
      <c r="A540">
        <v>539</v>
      </c>
      <c r="B540" s="1" t="s">
        <v>32</v>
      </c>
      <c r="C540" s="1" t="s">
        <v>27</v>
      </c>
      <c r="D540" s="1" t="s">
        <v>20</v>
      </c>
      <c r="E540" s="1" t="s">
        <v>49</v>
      </c>
      <c r="F540">
        <v>2156</v>
      </c>
      <c r="G540">
        <v>3</v>
      </c>
      <c r="H540">
        <v>125</v>
      </c>
      <c r="I540">
        <v>32340</v>
      </c>
      <c r="J540">
        <v>258720</v>
      </c>
      <c r="K540" s="2">
        <v>41913</v>
      </c>
      <c r="L540">
        <v>10</v>
      </c>
      <c r="M540" s="1" t="s">
        <v>37</v>
      </c>
      <c r="N540" s="1" t="s">
        <v>84</v>
      </c>
      <c r="O540">
        <v>2014</v>
      </c>
      <c r="P540">
        <v>269500</v>
      </c>
      <c r="Q540">
        <v>237160</v>
      </c>
      <c r="R540">
        <v>-21560</v>
      </c>
      <c r="S540" s="22">
        <v>-9.0909090909090912E-2</v>
      </c>
      <c r="T540" t="str" cm="1">
        <f t="array" ref="T540">_xlfn.SWITCH(TRUE,data[[#This Row],[Profit Margin]]&lt;0,"Negative",data[[#This Row],[Profit Margin]]&lt;0.1,"Low",data[[#This Row],[Profit Margin]]&lt;0.2,"Medium","High")</f>
        <v>Negative</v>
      </c>
    </row>
    <row r="541" spans="1:20" x14ac:dyDescent="0.35">
      <c r="A541">
        <v>540</v>
      </c>
      <c r="B541" s="1" t="s">
        <v>24</v>
      </c>
      <c r="C541" s="1" t="s">
        <v>19</v>
      </c>
      <c r="D541" s="1" t="s">
        <v>20</v>
      </c>
      <c r="E541" s="1" t="s">
        <v>49</v>
      </c>
      <c r="F541">
        <v>2689</v>
      </c>
      <c r="G541">
        <v>3</v>
      </c>
      <c r="H541">
        <v>15</v>
      </c>
      <c r="I541">
        <v>4840.2</v>
      </c>
      <c r="J541">
        <v>26890</v>
      </c>
      <c r="K541" s="2">
        <v>41944</v>
      </c>
      <c r="L541">
        <v>11</v>
      </c>
      <c r="M541" s="1" t="s">
        <v>41</v>
      </c>
      <c r="N541" s="1" t="s">
        <v>86</v>
      </c>
      <c r="O541">
        <v>2014</v>
      </c>
      <c r="P541">
        <v>40335</v>
      </c>
      <c r="Q541">
        <v>35494.800000000003</v>
      </c>
      <c r="R541">
        <v>8604.8000000000029</v>
      </c>
      <c r="S541" s="22">
        <v>0.24242424242424249</v>
      </c>
      <c r="T541" t="str" cm="1">
        <f t="array" ref="T541">_xlfn.SWITCH(TRUE,data[[#This Row],[Profit Margin]]&lt;0,"Negative",data[[#This Row],[Profit Margin]]&lt;0.1,"Low",data[[#This Row],[Profit Margin]]&lt;0.2,"Medium","High")</f>
        <v>High</v>
      </c>
    </row>
    <row r="542" spans="1:20" x14ac:dyDescent="0.35">
      <c r="A542">
        <v>541</v>
      </c>
      <c r="B542" s="1" t="s">
        <v>24</v>
      </c>
      <c r="C542" s="1" t="s">
        <v>38</v>
      </c>
      <c r="D542" s="1" t="s">
        <v>29</v>
      </c>
      <c r="E542" s="1" t="s">
        <v>49</v>
      </c>
      <c r="F542">
        <v>677</v>
      </c>
      <c r="G542">
        <v>5</v>
      </c>
      <c r="H542">
        <v>15</v>
      </c>
      <c r="I542">
        <v>1218.5999999999999</v>
      </c>
      <c r="J542">
        <v>6770</v>
      </c>
      <c r="K542" s="2">
        <v>41699</v>
      </c>
      <c r="L542">
        <v>3</v>
      </c>
      <c r="M542" s="1" t="s">
        <v>30</v>
      </c>
      <c r="N542" s="1" t="s">
        <v>80</v>
      </c>
      <c r="O542">
        <v>2014</v>
      </c>
      <c r="P542">
        <v>10155</v>
      </c>
      <c r="Q542">
        <v>8936.4</v>
      </c>
      <c r="R542">
        <v>2166.3999999999996</v>
      </c>
      <c r="S542" s="22">
        <v>0.2424242424242424</v>
      </c>
      <c r="T542" t="str" cm="1">
        <f t="array" ref="T542">_xlfn.SWITCH(TRUE,data[[#This Row],[Profit Margin]]&lt;0,"Negative",data[[#This Row],[Profit Margin]]&lt;0.1,"Low",data[[#This Row],[Profit Margin]]&lt;0.2,"Medium","High")</f>
        <v>High</v>
      </c>
    </row>
    <row r="543" spans="1:20" x14ac:dyDescent="0.35">
      <c r="A543">
        <v>542</v>
      </c>
      <c r="B543" s="1" t="s">
        <v>34</v>
      </c>
      <c r="C543" s="1" t="s">
        <v>25</v>
      </c>
      <c r="D543" s="1" t="s">
        <v>29</v>
      </c>
      <c r="E543" s="1" t="s">
        <v>49</v>
      </c>
      <c r="F543">
        <v>1773</v>
      </c>
      <c r="G543">
        <v>5</v>
      </c>
      <c r="H543">
        <v>300</v>
      </c>
      <c r="I543">
        <v>63828</v>
      </c>
      <c r="J543">
        <v>443250</v>
      </c>
      <c r="K543" s="2">
        <v>41730</v>
      </c>
      <c r="L543">
        <v>4</v>
      </c>
      <c r="M543" s="1" t="s">
        <v>44</v>
      </c>
      <c r="N543" s="1" t="s">
        <v>87</v>
      </c>
      <c r="O543">
        <v>2014</v>
      </c>
      <c r="P543">
        <v>531900</v>
      </c>
      <c r="Q543">
        <v>468072</v>
      </c>
      <c r="R543">
        <v>24822</v>
      </c>
      <c r="S543" s="22">
        <v>5.3030303030303032E-2</v>
      </c>
      <c r="T543" t="str" cm="1">
        <f t="array" ref="T543">_xlfn.SWITCH(TRUE,data[[#This Row],[Profit Margin]]&lt;0,"Negative",data[[#This Row],[Profit Margin]]&lt;0.1,"Low",data[[#This Row],[Profit Margin]]&lt;0.2,"Medium","High")</f>
        <v>Low</v>
      </c>
    </row>
    <row r="544" spans="1:20" x14ac:dyDescent="0.35">
      <c r="A544">
        <v>543</v>
      </c>
      <c r="B544" s="1" t="s">
        <v>18</v>
      </c>
      <c r="C544" s="1" t="s">
        <v>27</v>
      </c>
      <c r="D544" s="1" t="s">
        <v>29</v>
      </c>
      <c r="E544" s="1" t="s">
        <v>49</v>
      </c>
      <c r="F544">
        <v>2420</v>
      </c>
      <c r="G544">
        <v>5</v>
      </c>
      <c r="H544">
        <v>7</v>
      </c>
      <c r="I544">
        <v>2032.8</v>
      </c>
      <c r="J544">
        <v>12100</v>
      </c>
      <c r="K544" s="2">
        <v>41883</v>
      </c>
      <c r="L544">
        <v>9</v>
      </c>
      <c r="M544" s="1" t="s">
        <v>36</v>
      </c>
      <c r="N544" s="1" t="s">
        <v>83</v>
      </c>
      <c r="O544">
        <v>2014</v>
      </c>
      <c r="P544">
        <v>16940</v>
      </c>
      <c r="Q544">
        <v>14907.2</v>
      </c>
      <c r="R544">
        <v>2807.2000000000007</v>
      </c>
      <c r="S544" s="22">
        <v>0.18831168831168835</v>
      </c>
      <c r="T544" t="str" cm="1">
        <f t="array" ref="T544">_xlfn.SWITCH(TRUE,data[[#This Row],[Profit Margin]]&lt;0,"Negative",data[[#This Row],[Profit Margin]]&lt;0.1,"Low",data[[#This Row],[Profit Margin]]&lt;0.2,"Medium","High")</f>
        <v>Medium</v>
      </c>
    </row>
    <row r="545" spans="1:20" x14ac:dyDescent="0.35">
      <c r="A545">
        <v>544</v>
      </c>
      <c r="B545" s="1" t="s">
        <v>18</v>
      </c>
      <c r="C545" s="1" t="s">
        <v>19</v>
      </c>
      <c r="D545" s="1" t="s">
        <v>29</v>
      </c>
      <c r="E545" s="1" t="s">
        <v>49</v>
      </c>
      <c r="F545">
        <v>2734</v>
      </c>
      <c r="G545">
        <v>5</v>
      </c>
      <c r="H545">
        <v>7</v>
      </c>
      <c r="I545">
        <v>2296.56</v>
      </c>
      <c r="J545">
        <v>13670</v>
      </c>
      <c r="K545" s="2">
        <v>41913</v>
      </c>
      <c r="L545">
        <v>10</v>
      </c>
      <c r="M545" s="1" t="s">
        <v>37</v>
      </c>
      <c r="N545" s="1" t="s">
        <v>84</v>
      </c>
      <c r="O545">
        <v>2014</v>
      </c>
      <c r="P545">
        <v>19138</v>
      </c>
      <c r="Q545">
        <v>16841.439999999999</v>
      </c>
      <c r="R545">
        <v>3171.4399999999987</v>
      </c>
      <c r="S545" s="22">
        <v>0.18831168831168824</v>
      </c>
      <c r="T545" t="str" cm="1">
        <f t="array" ref="T545">_xlfn.SWITCH(TRUE,data[[#This Row],[Profit Margin]]&lt;0,"Negative",data[[#This Row],[Profit Margin]]&lt;0.1,"Low",data[[#This Row],[Profit Margin]]&lt;0.2,"Medium","High")</f>
        <v>Medium</v>
      </c>
    </row>
    <row r="546" spans="1:20" x14ac:dyDescent="0.35">
      <c r="A546">
        <v>545</v>
      </c>
      <c r="B546" s="1" t="s">
        <v>18</v>
      </c>
      <c r="C546" s="1" t="s">
        <v>27</v>
      </c>
      <c r="D546" s="1" t="s">
        <v>29</v>
      </c>
      <c r="E546" s="1" t="s">
        <v>49</v>
      </c>
      <c r="F546">
        <v>1715</v>
      </c>
      <c r="G546">
        <v>5</v>
      </c>
      <c r="H546">
        <v>20</v>
      </c>
      <c r="I546">
        <v>4116</v>
      </c>
      <c r="J546">
        <v>17150</v>
      </c>
      <c r="K546" s="2">
        <v>41548</v>
      </c>
      <c r="L546">
        <v>10</v>
      </c>
      <c r="M546" s="1" t="s">
        <v>37</v>
      </c>
      <c r="N546" s="1" t="s">
        <v>84</v>
      </c>
      <c r="O546">
        <v>2013</v>
      </c>
      <c r="P546">
        <v>34300</v>
      </c>
      <c r="Q546">
        <v>30184</v>
      </c>
      <c r="R546">
        <v>13034</v>
      </c>
      <c r="S546" s="22">
        <v>0.43181818181818182</v>
      </c>
      <c r="T546" t="str" cm="1">
        <f t="array" ref="T546">_xlfn.SWITCH(TRUE,data[[#This Row],[Profit Margin]]&lt;0,"Negative",data[[#This Row],[Profit Margin]]&lt;0.1,"Low",data[[#This Row],[Profit Margin]]&lt;0.2,"Medium","High")</f>
        <v>High</v>
      </c>
    </row>
    <row r="547" spans="1:20" x14ac:dyDescent="0.35">
      <c r="A547">
        <v>546</v>
      </c>
      <c r="B547" s="1" t="s">
        <v>34</v>
      </c>
      <c r="C547" s="1" t="s">
        <v>25</v>
      </c>
      <c r="D547" s="1" t="s">
        <v>29</v>
      </c>
      <c r="E547" s="1" t="s">
        <v>49</v>
      </c>
      <c r="F547">
        <v>1186</v>
      </c>
      <c r="G547">
        <v>5</v>
      </c>
      <c r="H547">
        <v>300</v>
      </c>
      <c r="I547">
        <v>42696</v>
      </c>
      <c r="J547">
        <v>296500</v>
      </c>
      <c r="K547" s="2">
        <v>41609</v>
      </c>
      <c r="L547">
        <v>12</v>
      </c>
      <c r="M547" s="1" t="s">
        <v>28</v>
      </c>
      <c r="N547" s="1" t="s">
        <v>79</v>
      </c>
      <c r="O547">
        <v>2013</v>
      </c>
      <c r="P547">
        <v>355800</v>
      </c>
      <c r="Q547">
        <v>313104</v>
      </c>
      <c r="R547">
        <v>16604</v>
      </c>
      <c r="S547" s="22">
        <v>5.3030303030303032E-2</v>
      </c>
      <c r="T547" t="str" cm="1">
        <f t="array" ref="T547">_xlfn.SWITCH(TRUE,data[[#This Row],[Profit Margin]]&lt;0,"Negative",data[[#This Row],[Profit Margin]]&lt;0.1,"Low",data[[#This Row],[Profit Margin]]&lt;0.2,"Medium","High")</f>
        <v>Low</v>
      </c>
    </row>
    <row r="548" spans="1:20" x14ac:dyDescent="0.35">
      <c r="A548">
        <v>547</v>
      </c>
      <c r="B548" s="1" t="s">
        <v>34</v>
      </c>
      <c r="C548" s="1" t="s">
        <v>38</v>
      </c>
      <c r="D548" s="1" t="s">
        <v>39</v>
      </c>
      <c r="E548" s="1" t="s">
        <v>49</v>
      </c>
      <c r="F548">
        <v>3495</v>
      </c>
      <c r="G548">
        <v>10</v>
      </c>
      <c r="H548">
        <v>300</v>
      </c>
      <c r="I548">
        <v>125820</v>
      </c>
      <c r="J548">
        <v>873750</v>
      </c>
      <c r="K548" s="2">
        <v>41640</v>
      </c>
      <c r="L548">
        <v>1</v>
      </c>
      <c r="M548" s="1" t="s">
        <v>22</v>
      </c>
      <c r="N548" s="1" t="s">
        <v>77</v>
      </c>
      <c r="O548">
        <v>2014</v>
      </c>
      <c r="P548">
        <v>1048500</v>
      </c>
      <c r="Q548">
        <v>922680</v>
      </c>
      <c r="R548">
        <v>48930</v>
      </c>
      <c r="S548" s="22">
        <v>5.3030303030303032E-2</v>
      </c>
      <c r="T548" t="str" cm="1">
        <f t="array" ref="T548">_xlfn.SWITCH(TRUE,data[[#This Row],[Profit Margin]]&lt;0,"Negative",data[[#This Row],[Profit Margin]]&lt;0.1,"Low",data[[#This Row],[Profit Margin]]&lt;0.2,"Medium","High")</f>
        <v>Low</v>
      </c>
    </row>
    <row r="549" spans="1:20" x14ac:dyDescent="0.35">
      <c r="A549">
        <v>548</v>
      </c>
      <c r="B549" s="1" t="s">
        <v>18</v>
      </c>
      <c r="C549" s="1" t="s">
        <v>27</v>
      </c>
      <c r="D549" s="1" t="s">
        <v>39</v>
      </c>
      <c r="E549" s="1" t="s">
        <v>49</v>
      </c>
      <c r="F549">
        <v>886</v>
      </c>
      <c r="G549">
        <v>10</v>
      </c>
      <c r="H549">
        <v>350</v>
      </c>
      <c r="I549">
        <v>37212</v>
      </c>
      <c r="J549">
        <v>230360</v>
      </c>
      <c r="K549" s="2">
        <v>41791</v>
      </c>
      <c r="L549">
        <v>6</v>
      </c>
      <c r="M549" s="1" t="s">
        <v>26</v>
      </c>
      <c r="N549" s="1" t="s">
        <v>78</v>
      </c>
      <c r="O549">
        <v>2014</v>
      </c>
      <c r="P549">
        <v>310100</v>
      </c>
      <c r="Q549">
        <v>272888</v>
      </c>
      <c r="R549">
        <v>42528</v>
      </c>
      <c r="S549" s="22">
        <v>0.15584415584415584</v>
      </c>
      <c r="T549" t="str" cm="1">
        <f t="array" ref="T549">_xlfn.SWITCH(TRUE,data[[#This Row],[Profit Margin]]&lt;0,"Negative",data[[#This Row],[Profit Margin]]&lt;0.1,"Low",data[[#This Row],[Profit Margin]]&lt;0.2,"Medium","High")</f>
        <v>Medium</v>
      </c>
    </row>
    <row r="550" spans="1:20" x14ac:dyDescent="0.35">
      <c r="A550">
        <v>549</v>
      </c>
      <c r="B550" s="1" t="s">
        <v>32</v>
      </c>
      <c r="C550" s="1" t="s">
        <v>27</v>
      </c>
      <c r="D550" s="1" t="s">
        <v>39</v>
      </c>
      <c r="E550" s="1" t="s">
        <v>49</v>
      </c>
      <c r="F550">
        <v>2156</v>
      </c>
      <c r="G550">
        <v>10</v>
      </c>
      <c r="H550">
        <v>125</v>
      </c>
      <c r="I550">
        <v>32340</v>
      </c>
      <c r="J550">
        <v>258720</v>
      </c>
      <c r="K550" s="2">
        <v>41913</v>
      </c>
      <c r="L550">
        <v>10</v>
      </c>
      <c r="M550" s="1" t="s">
        <v>37</v>
      </c>
      <c r="N550" s="1" t="s">
        <v>84</v>
      </c>
      <c r="O550">
        <v>2014</v>
      </c>
      <c r="P550">
        <v>269500</v>
      </c>
      <c r="Q550">
        <v>237160</v>
      </c>
      <c r="R550">
        <v>-21560</v>
      </c>
      <c r="S550" s="22">
        <v>-9.0909090909090912E-2</v>
      </c>
      <c r="T550" t="str" cm="1">
        <f t="array" ref="T550">_xlfn.SWITCH(TRUE,data[[#This Row],[Profit Margin]]&lt;0,"Negative",data[[#This Row],[Profit Margin]]&lt;0.1,"Low",data[[#This Row],[Profit Margin]]&lt;0.2,"Medium","High")</f>
        <v>Negative</v>
      </c>
    </row>
    <row r="551" spans="1:20" x14ac:dyDescent="0.35">
      <c r="A551">
        <v>550</v>
      </c>
      <c r="B551" s="1" t="s">
        <v>18</v>
      </c>
      <c r="C551" s="1" t="s">
        <v>27</v>
      </c>
      <c r="D551" s="1" t="s">
        <v>39</v>
      </c>
      <c r="E551" s="1" t="s">
        <v>49</v>
      </c>
      <c r="F551">
        <v>905</v>
      </c>
      <c r="G551">
        <v>10</v>
      </c>
      <c r="H551">
        <v>20</v>
      </c>
      <c r="I551">
        <v>2172</v>
      </c>
      <c r="J551">
        <v>9050</v>
      </c>
      <c r="K551" s="2">
        <v>41913</v>
      </c>
      <c r="L551">
        <v>10</v>
      </c>
      <c r="M551" s="1" t="s">
        <v>37</v>
      </c>
      <c r="N551" s="1" t="s">
        <v>84</v>
      </c>
      <c r="O551">
        <v>2014</v>
      </c>
      <c r="P551">
        <v>18100</v>
      </c>
      <c r="Q551">
        <v>15928</v>
      </c>
      <c r="R551">
        <v>6878</v>
      </c>
      <c r="S551" s="22">
        <v>0.43181818181818182</v>
      </c>
      <c r="T551" t="str" cm="1">
        <f t="array" ref="T551">_xlfn.SWITCH(TRUE,data[[#This Row],[Profit Margin]]&lt;0,"Negative",data[[#This Row],[Profit Margin]]&lt;0.1,"Low",data[[#This Row],[Profit Margin]]&lt;0.2,"Medium","High")</f>
        <v>High</v>
      </c>
    </row>
    <row r="552" spans="1:20" x14ac:dyDescent="0.35">
      <c r="A552">
        <v>551</v>
      </c>
      <c r="B552" s="1" t="s">
        <v>18</v>
      </c>
      <c r="C552" s="1" t="s">
        <v>27</v>
      </c>
      <c r="D552" s="1" t="s">
        <v>39</v>
      </c>
      <c r="E552" s="1" t="s">
        <v>49</v>
      </c>
      <c r="F552">
        <v>1715</v>
      </c>
      <c r="G552">
        <v>10</v>
      </c>
      <c r="H552">
        <v>20</v>
      </c>
      <c r="I552">
        <v>4116</v>
      </c>
      <c r="J552">
        <v>17150</v>
      </c>
      <c r="K552" s="2">
        <v>41548</v>
      </c>
      <c r="L552">
        <v>10</v>
      </c>
      <c r="M552" s="1" t="s">
        <v>37</v>
      </c>
      <c r="N552" s="1" t="s">
        <v>84</v>
      </c>
      <c r="O552">
        <v>2013</v>
      </c>
      <c r="P552">
        <v>34300</v>
      </c>
      <c r="Q552">
        <v>30184</v>
      </c>
      <c r="R552">
        <v>13034</v>
      </c>
      <c r="S552" s="22">
        <v>0.43181818181818182</v>
      </c>
      <c r="T552" t="str" cm="1">
        <f t="array" ref="T552">_xlfn.SWITCH(TRUE,data[[#This Row],[Profit Margin]]&lt;0,"Negative",data[[#This Row],[Profit Margin]]&lt;0.1,"Low",data[[#This Row],[Profit Margin]]&lt;0.2,"Medium","High")</f>
        <v>High</v>
      </c>
    </row>
    <row r="553" spans="1:20" x14ac:dyDescent="0.35">
      <c r="A553">
        <v>552</v>
      </c>
      <c r="B553" s="1" t="s">
        <v>18</v>
      </c>
      <c r="C553" s="1" t="s">
        <v>25</v>
      </c>
      <c r="D553" s="1" t="s">
        <v>39</v>
      </c>
      <c r="E553" s="1" t="s">
        <v>49</v>
      </c>
      <c r="F553">
        <v>1594</v>
      </c>
      <c r="G553">
        <v>10</v>
      </c>
      <c r="H553">
        <v>350</v>
      </c>
      <c r="I553">
        <v>66948</v>
      </c>
      <c r="J553">
        <v>414440</v>
      </c>
      <c r="K553" s="2">
        <v>41944</v>
      </c>
      <c r="L553">
        <v>11</v>
      </c>
      <c r="M553" s="1" t="s">
        <v>41</v>
      </c>
      <c r="N553" s="1" t="s">
        <v>86</v>
      </c>
      <c r="O553">
        <v>2014</v>
      </c>
      <c r="P553">
        <v>557900</v>
      </c>
      <c r="Q553">
        <v>490952</v>
      </c>
      <c r="R553">
        <v>76512</v>
      </c>
      <c r="S553" s="22">
        <v>0.15584415584415584</v>
      </c>
      <c r="T553" t="str" cm="1">
        <f t="array" ref="T553">_xlfn.SWITCH(TRUE,data[[#This Row],[Profit Margin]]&lt;0,"Negative",data[[#This Row],[Profit Margin]]&lt;0.1,"Low",data[[#This Row],[Profit Margin]]&lt;0.2,"Medium","High")</f>
        <v>Medium</v>
      </c>
    </row>
    <row r="554" spans="1:20" x14ac:dyDescent="0.35">
      <c r="A554">
        <v>553</v>
      </c>
      <c r="B554" s="1" t="s">
        <v>34</v>
      </c>
      <c r="C554" s="1" t="s">
        <v>23</v>
      </c>
      <c r="D554" s="1" t="s">
        <v>39</v>
      </c>
      <c r="E554" s="1" t="s">
        <v>49</v>
      </c>
      <c r="F554">
        <v>1359</v>
      </c>
      <c r="G554">
        <v>10</v>
      </c>
      <c r="H554">
        <v>300</v>
      </c>
      <c r="I554">
        <v>48924</v>
      </c>
      <c r="J554">
        <v>339750</v>
      </c>
      <c r="K554" s="2">
        <v>41944</v>
      </c>
      <c r="L554">
        <v>11</v>
      </c>
      <c r="M554" s="1" t="s">
        <v>41</v>
      </c>
      <c r="N554" s="1" t="s">
        <v>86</v>
      </c>
      <c r="O554">
        <v>2014</v>
      </c>
      <c r="P554">
        <v>407700</v>
      </c>
      <c r="Q554">
        <v>358776</v>
      </c>
      <c r="R554">
        <v>19026</v>
      </c>
      <c r="S554" s="22">
        <v>5.3030303030303032E-2</v>
      </c>
      <c r="T554" t="str" cm="1">
        <f t="array" ref="T554">_xlfn.SWITCH(TRUE,data[[#This Row],[Profit Margin]]&lt;0,"Negative",data[[#This Row],[Profit Margin]]&lt;0.1,"Low",data[[#This Row],[Profit Margin]]&lt;0.2,"Medium","High")</f>
        <v>Low</v>
      </c>
    </row>
    <row r="555" spans="1:20" x14ac:dyDescent="0.35">
      <c r="A555">
        <v>554</v>
      </c>
      <c r="B555" s="1" t="s">
        <v>34</v>
      </c>
      <c r="C555" s="1" t="s">
        <v>27</v>
      </c>
      <c r="D555" s="1" t="s">
        <v>39</v>
      </c>
      <c r="E555" s="1" t="s">
        <v>49</v>
      </c>
      <c r="F555">
        <v>2150</v>
      </c>
      <c r="G555">
        <v>10</v>
      </c>
      <c r="H555">
        <v>300</v>
      </c>
      <c r="I555">
        <v>77400</v>
      </c>
      <c r="J555">
        <v>537500</v>
      </c>
      <c r="K555" s="2">
        <v>41944</v>
      </c>
      <c r="L555">
        <v>11</v>
      </c>
      <c r="M555" s="1" t="s">
        <v>41</v>
      </c>
      <c r="N555" s="1" t="s">
        <v>86</v>
      </c>
      <c r="O555">
        <v>2014</v>
      </c>
      <c r="P555">
        <v>645000</v>
      </c>
      <c r="Q555">
        <v>567600</v>
      </c>
      <c r="R555">
        <v>30100</v>
      </c>
      <c r="S555" s="22">
        <v>5.3030303030303032E-2</v>
      </c>
      <c r="T555" t="str" cm="1">
        <f t="array" ref="T555">_xlfn.SWITCH(TRUE,data[[#This Row],[Profit Margin]]&lt;0,"Negative",data[[#This Row],[Profit Margin]]&lt;0.1,"Low",data[[#This Row],[Profit Margin]]&lt;0.2,"Medium","High")</f>
        <v>Low</v>
      </c>
    </row>
    <row r="556" spans="1:20" x14ac:dyDescent="0.35">
      <c r="A556">
        <v>555</v>
      </c>
      <c r="B556" s="1" t="s">
        <v>18</v>
      </c>
      <c r="C556" s="1" t="s">
        <v>27</v>
      </c>
      <c r="D556" s="1" t="s">
        <v>39</v>
      </c>
      <c r="E556" s="1" t="s">
        <v>49</v>
      </c>
      <c r="F556">
        <v>1197</v>
      </c>
      <c r="G556">
        <v>10</v>
      </c>
      <c r="H556">
        <v>350</v>
      </c>
      <c r="I556">
        <v>50274</v>
      </c>
      <c r="J556">
        <v>311220</v>
      </c>
      <c r="K556" s="2">
        <v>41944</v>
      </c>
      <c r="L556">
        <v>11</v>
      </c>
      <c r="M556" s="1" t="s">
        <v>41</v>
      </c>
      <c r="N556" s="1" t="s">
        <v>86</v>
      </c>
      <c r="O556">
        <v>2014</v>
      </c>
      <c r="P556">
        <v>418950</v>
      </c>
      <c r="Q556">
        <v>368676</v>
      </c>
      <c r="R556">
        <v>57456</v>
      </c>
      <c r="S556" s="22">
        <v>0.15584415584415584</v>
      </c>
      <c r="T556" t="str" cm="1">
        <f t="array" ref="T556">_xlfn.SWITCH(TRUE,data[[#This Row],[Profit Margin]]&lt;0,"Negative",data[[#This Row],[Profit Margin]]&lt;0.1,"Low",data[[#This Row],[Profit Margin]]&lt;0.2,"Medium","High")</f>
        <v>Medium</v>
      </c>
    </row>
    <row r="557" spans="1:20" x14ac:dyDescent="0.35">
      <c r="A557">
        <v>556</v>
      </c>
      <c r="B557" s="1" t="s">
        <v>24</v>
      </c>
      <c r="C557" s="1" t="s">
        <v>27</v>
      </c>
      <c r="D557" s="1" t="s">
        <v>39</v>
      </c>
      <c r="E557" s="1" t="s">
        <v>49</v>
      </c>
      <c r="F557">
        <v>380</v>
      </c>
      <c r="G557">
        <v>10</v>
      </c>
      <c r="H557">
        <v>15</v>
      </c>
      <c r="I557">
        <v>684</v>
      </c>
      <c r="J557">
        <v>3800</v>
      </c>
      <c r="K557" s="2">
        <v>41609</v>
      </c>
      <c r="L557">
        <v>12</v>
      </c>
      <c r="M557" s="1" t="s">
        <v>28</v>
      </c>
      <c r="N557" s="1" t="s">
        <v>79</v>
      </c>
      <c r="O557">
        <v>2013</v>
      </c>
      <c r="P557">
        <v>5700</v>
      </c>
      <c r="Q557">
        <v>5016</v>
      </c>
      <c r="R557">
        <v>1216</v>
      </c>
      <c r="S557" s="22">
        <v>0.24242424242424243</v>
      </c>
      <c r="T557" t="str" cm="1">
        <f t="array" ref="T557">_xlfn.SWITCH(TRUE,data[[#This Row],[Profit Margin]]&lt;0,"Negative",data[[#This Row],[Profit Margin]]&lt;0.1,"Low",data[[#This Row],[Profit Margin]]&lt;0.2,"Medium","High")</f>
        <v>High</v>
      </c>
    </row>
    <row r="558" spans="1:20" x14ac:dyDescent="0.35">
      <c r="A558">
        <v>557</v>
      </c>
      <c r="B558" s="1" t="s">
        <v>18</v>
      </c>
      <c r="C558" s="1" t="s">
        <v>27</v>
      </c>
      <c r="D558" s="1" t="s">
        <v>39</v>
      </c>
      <c r="E558" s="1" t="s">
        <v>49</v>
      </c>
      <c r="F558">
        <v>1233</v>
      </c>
      <c r="G558">
        <v>10</v>
      </c>
      <c r="H558">
        <v>20</v>
      </c>
      <c r="I558">
        <v>2959.2</v>
      </c>
      <c r="J558">
        <v>12330</v>
      </c>
      <c r="K558" s="2">
        <v>41974</v>
      </c>
      <c r="L558">
        <v>12</v>
      </c>
      <c r="M558" s="1" t="s">
        <v>28</v>
      </c>
      <c r="N558" s="1" t="s">
        <v>79</v>
      </c>
      <c r="O558">
        <v>2014</v>
      </c>
      <c r="P558">
        <v>24660</v>
      </c>
      <c r="Q558">
        <v>21700.799999999999</v>
      </c>
      <c r="R558">
        <v>9370.7999999999993</v>
      </c>
      <c r="S558" s="22">
        <v>0.43181818181818182</v>
      </c>
      <c r="T558" t="str" cm="1">
        <f t="array" ref="T558">_xlfn.SWITCH(TRUE,data[[#This Row],[Profit Margin]]&lt;0,"Negative",data[[#This Row],[Profit Margin]]&lt;0.1,"Low",data[[#This Row],[Profit Margin]]&lt;0.2,"Medium","High")</f>
        <v>High</v>
      </c>
    </row>
    <row r="559" spans="1:20" x14ac:dyDescent="0.35">
      <c r="A559">
        <v>558</v>
      </c>
      <c r="B559" s="1" t="s">
        <v>18</v>
      </c>
      <c r="C559" s="1" t="s">
        <v>27</v>
      </c>
      <c r="D559" s="1" t="s">
        <v>42</v>
      </c>
      <c r="E559" s="1" t="s">
        <v>49</v>
      </c>
      <c r="F559">
        <v>1395</v>
      </c>
      <c r="G559">
        <v>120</v>
      </c>
      <c r="H559">
        <v>350</v>
      </c>
      <c r="I559">
        <v>58590</v>
      </c>
      <c r="J559">
        <v>362700</v>
      </c>
      <c r="K559" s="2">
        <v>41821</v>
      </c>
      <c r="L559">
        <v>7</v>
      </c>
      <c r="M559" s="1" t="s">
        <v>33</v>
      </c>
      <c r="N559" s="1" t="s">
        <v>81</v>
      </c>
      <c r="O559">
        <v>2014</v>
      </c>
      <c r="P559">
        <v>488250</v>
      </c>
      <c r="Q559">
        <v>429660</v>
      </c>
      <c r="R559">
        <v>66960</v>
      </c>
      <c r="S559" s="22">
        <v>0.15584415584415584</v>
      </c>
      <c r="T559" t="str" cm="1">
        <f t="array" ref="T559">_xlfn.SWITCH(TRUE,data[[#This Row],[Profit Margin]]&lt;0,"Negative",data[[#This Row],[Profit Margin]]&lt;0.1,"Low",data[[#This Row],[Profit Margin]]&lt;0.2,"Medium","High")</f>
        <v>Medium</v>
      </c>
    </row>
    <row r="560" spans="1:20" x14ac:dyDescent="0.35">
      <c r="A560">
        <v>559</v>
      </c>
      <c r="B560" s="1" t="s">
        <v>18</v>
      </c>
      <c r="C560" s="1" t="s">
        <v>38</v>
      </c>
      <c r="D560" s="1" t="s">
        <v>42</v>
      </c>
      <c r="E560" s="1" t="s">
        <v>49</v>
      </c>
      <c r="F560">
        <v>986</v>
      </c>
      <c r="G560">
        <v>120</v>
      </c>
      <c r="H560">
        <v>350</v>
      </c>
      <c r="I560">
        <v>41412</v>
      </c>
      <c r="J560">
        <v>256360</v>
      </c>
      <c r="K560" s="2">
        <v>41913</v>
      </c>
      <c r="L560">
        <v>10</v>
      </c>
      <c r="M560" s="1" t="s">
        <v>37</v>
      </c>
      <c r="N560" s="1" t="s">
        <v>84</v>
      </c>
      <c r="O560">
        <v>2014</v>
      </c>
      <c r="P560">
        <v>345100</v>
      </c>
      <c r="Q560">
        <v>303688</v>
      </c>
      <c r="R560">
        <v>47328</v>
      </c>
      <c r="S560" s="22">
        <v>0.15584415584415584</v>
      </c>
      <c r="T560" t="str" cm="1">
        <f t="array" ref="T560">_xlfn.SWITCH(TRUE,data[[#This Row],[Profit Margin]]&lt;0,"Negative",data[[#This Row],[Profit Margin]]&lt;0.1,"Low",data[[#This Row],[Profit Margin]]&lt;0.2,"Medium","High")</f>
        <v>Medium</v>
      </c>
    </row>
    <row r="561" spans="1:20" x14ac:dyDescent="0.35">
      <c r="A561">
        <v>560</v>
      </c>
      <c r="B561" s="1" t="s">
        <v>18</v>
      </c>
      <c r="C561" s="1" t="s">
        <v>27</v>
      </c>
      <c r="D561" s="1" t="s">
        <v>42</v>
      </c>
      <c r="E561" s="1" t="s">
        <v>49</v>
      </c>
      <c r="F561">
        <v>905</v>
      </c>
      <c r="G561">
        <v>120</v>
      </c>
      <c r="H561">
        <v>20</v>
      </c>
      <c r="I561">
        <v>2172</v>
      </c>
      <c r="J561">
        <v>9050</v>
      </c>
      <c r="K561" s="2">
        <v>41913</v>
      </c>
      <c r="L561">
        <v>10</v>
      </c>
      <c r="M561" s="1" t="s">
        <v>37</v>
      </c>
      <c r="N561" s="1" t="s">
        <v>84</v>
      </c>
      <c r="O561">
        <v>2014</v>
      </c>
      <c r="P561">
        <v>18100</v>
      </c>
      <c r="Q561">
        <v>15928</v>
      </c>
      <c r="R561">
        <v>6878</v>
      </c>
      <c r="S561" s="22">
        <v>0.43181818181818182</v>
      </c>
      <c r="T561" t="str" cm="1">
        <f t="array" ref="T561">_xlfn.SWITCH(TRUE,data[[#This Row],[Profit Margin]]&lt;0,"Negative",data[[#This Row],[Profit Margin]]&lt;0.1,"Low",data[[#This Row],[Profit Margin]]&lt;0.2,"Medium","High")</f>
        <v>High</v>
      </c>
    </row>
    <row r="562" spans="1:20" x14ac:dyDescent="0.35">
      <c r="A562">
        <v>561</v>
      </c>
      <c r="B562" s="1" t="s">
        <v>31</v>
      </c>
      <c r="C562" s="1" t="s">
        <v>19</v>
      </c>
      <c r="D562" s="1" t="s">
        <v>43</v>
      </c>
      <c r="E562" s="1" t="s">
        <v>49</v>
      </c>
      <c r="F562">
        <v>2109</v>
      </c>
      <c r="G562">
        <v>250</v>
      </c>
      <c r="H562">
        <v>12</v>
      </c>
      <c r="I562">
        <v>3036.96</v>
      </c>
      <c r="J562">
        <v>6327</v>
      </c>
      <c r="K562" s="2">
        <v>41760</v>
      </c>
      <c r="L562">
        <v>5</v>
      </c>
      <c r="M562" s="1" t="s">
        <v>47</v>
      </c>
      <c r="N562" s="1" t="s">
        <v>47</v>
      </c>
      <c r="O562">
        <v>2014</v>
      </c>
      <c r="P562">
        <v>25308</v>
      </c>
      <c r="Q562">
        <v>22271.040000000001</v>
      </c>
      <c r="R562">
        <v>15944.04</v>
      </c>
      <c r="S562" s="22">
        <v>0.71590909090909094</v>
      </c>
      <c r="T562" t="str" cm="1">
        <f t="array" ref="T562">_xlfn.SWITCH(TRUE,data[[#This Row],[Profit Margin]]&lt;0,"Negative",data[[#This Row],[Profit Margin]]&lt;0.1,"Low",data[[#This Row],[Profit Margin]]&lt;0.2,"Medium","High")</f>
        <v>High</v>
      </c>
    </row>
    <row r="563" spans="1:20" x14ac:dyDescent="0.35">
      <c r="A563">
        <v>562</v>
      </c>
      <c r="B563" s="1" t="s">
        <v>24</v>
      </c>
      <c r="C563" s="1" t="s">
        <v>25</v>
      </c>
      <c r="D563" s="1" t="s">
        <v>43</v>
      </c>
      <c r="E563" s="1" t="s">
        <v>49</v>
      </c>
      <c r="F563">
        <v>3874.5</v>
      </c>
      <c r="G563">
        <v>250</v>
      </c>
      <c r="H563">
        <v>15</v>
      </c>
      <c r="I563">
        <v>6974.0999999999995</v>
      </c>
      <c r="J563">
        <v>38745</v>
      </c>
      <c r="K563" s="2">
        <v>41821</v>
      </c>
      <c r="L563">
        <v>7</v>
      </c>
      <c r="M563" s="1" t="s">
        <v>33</v>
      </c>
      <c r="N563" s="1" t="s">
        <v>81</v>
      </c>
      <c r="O563">
        <v>2014</v>
      </c>
      <c r="P563">
        <v>58117.5</v>
      </c>
      <c r="Q563">
        <v>51143.4</v>
      </c>
      <c r="R563">
        <v>12398.400000000001</v>
      </c>
      <c r="S563" s="22">
        <v>0.24242424242424246</v>
      </c>
      <c r="T563" t="str" cm="1">
        <f t="array" ref="T563">_xlfn.SWITCH(TRUE,data[[#This Row],[Profit Margin]]&lt;0,"Negative",data[[#This Row],[Profit Margin]]&lt;0.1,"Low",data[[#This Row],[Profit Margin]]&lt;0.2,"Medium","High")</f>
        <v>High</v>
      </c>
    </row>
    <row r="564" spans="1:20" x14ac:dyDescent="0.35">
      <c r="A564">
        <v>563</v>
      </c>
      <c r="B564" s="1" t="s">
        <v>18</v>
      </c>
      <c r="C564" s="1" t="s">
        <v>19</v>
      </c>
      <c r="D564" s="1" t="s">
        <v>43</v>
      </c>
      <c r="E564" s="1" t="s">
        <v>49</v>
      </c>
      <c r="F564">
        <v>623</v>
      </c>
      <c r="G564">
        <v>250</v>
      </c>
      <c r="H564">
        <v>350</v>
      </c>
      <c r="I564">
        <v>26166</v>
      </c>
      <c r="J564">
        <v>161980</v>
      </c>
      <c r="K564" s="2">
        <v>41518</v>
      </c>
      <c r="L564">
        <v>9</v>
      </c>
      <c r="M564" s="1" t="s">
        <v>36</v>
      </c>
      <c r="N564" s="1" t="s">
        <v>83</v>
      </c>
      <c r="O564">
        <v>2013</v>
      </c>
      <c r="P564">
        <v>218050</v>
      </c>
      <c r="Q564">
        <v>191884</v>
      </c>
      <c r="R564">
        <v>29904</v>
      </c>
      <c r="S564" s="22">
        <v>0.15584415584415584</v>
      </c>
      <c r="T564" t="str" cm="1">
        <f t="array" ref="T564">_xlfn.SWITCH(TRUE,data[[#This Row],[Profit Margin]]&lt;0,"Negative",data[[#This Row],[Profit Margin]]&lt;0.1,"Low",data[[#This Row],[Profit Margin]]&lt;0.2,"Medium","High")</f>
        <v>Medium</v>
      </c>
    </row>
    <row r="565" spans="1:20" x14ac:dyDescent="0.35">
      <c r="A565">
        <v>564</v>
      </c>
      <c r="B565" s="1" t="s">
        <v>18</v>
      </c>
      <c r="C565" s="1" t="s">
        <v>38</v>
      </c>
      <c r="D565" s="1" t="s">
        <v>43</v>
      </c>
      <c r="E565" s="1" t="s">
        <v>49</v>
      </c>
      <c r="F565">
        <v>986</v>
      </c>
      <c r="G565">
        <v>250</v>
      </c>
      <c r="H565">
        <v>350</v>
      </c>
      <c r="I565">
        <v>41412</v>
      </c>
      <c r="J565">
        <v>256360</v>
      </c>
      <c r="K565" s="2">
        <v>41913</v>
      </c>
      <c r="L565">
        <v>10</v>
      </c>
      <c r="M565" s="1" t="s">
        <v>37</v>
      </c>
      <c r="N565" s="1" t="s">
        <v>84</v>
      </c>
      <c r="O565">
        <v>2014</v>
      </c>
      <c r="P565">
        <v>345100</v>
      </c>
      <c r="Q565">
        <v>303688</v>
      </c>
      <c r="R565">
        <v>47328</v>
      </c>
      <c r="S565" s="22">
        <v>0.15584415584415584</v>
      </c>
      <c r="T565" t="str" cm="1">
        <f t="array" ref="T565">_xlfn.SWITCH(TRUE,data[[#This Row],[Profit Margin]]&lt;0,"Negative",data[[#This Row],[Profit Margin]]&lt;0.1,"Low",data[[#This Row],[Profit Margin]]&lt;0.2,"Medium","High")</f>
        <v>Medium</v>
      </c>
    </row>
    <row r="566" spans="1:20" x14ac:dyDescent="0.35">
      <c r="A566">
        <v>565</v>
      </c>
      <c r="B566" s="1" t="s">
        <v>32</v>
      </c>
      <c r="C566" s="1" t="s">
        <v>38</v>
      </c>
      <c r="D566" s="1" t="s">
        <v>43</v>
      </c>
      <c r="E566" s="1" t="s">
        <v>49</v>
      </c>
      <c r="F566">
        <v>2387</v>
      </c>
      <c r="G566">
        <v>250</v>
      </c>
      <c r="H566">
        <v>125</v>
      </c>
      <c r="I566">
        <v>35805</v>
      </c>
      <c r="J566">
        <v>286440</v>
      </c>
      <c r="K566" s="2">
        <v>41944</v>
      </c>
      <c r="L566">
        <v>11</v>
      </c>
      <c r="M566" s="1" t="s">
        <v>41</v>
      </c>
      <c r="N566" s="1" t="s">
        <v>86</v>
      </c>
      <c r="O566">
        <v>2014</v>
      </c>
      <c r="P566">
        <v>298375</v>
      </c>
      <c r="Q566">
        <v>262570</v>
      </c>
      <c r="R566">
        <v>-23870</v>
      </c>
      <c r="S566" s="22">
        <v>-9.0909090909090912E-2</v>
      </c>
      <c r="T566" t="str" cm="1">
        <f t="array" ref="T566">_xlfn.SWITCH(TRUE,data[[#This Row],[Profit Margin]]&lt;0,"Negative",data[[#This Row],[Profit Margin]]&lt;0.1,"Low",data[[#This Row],[Profit Margin]]&lt;0.2,"Medium","High")</f>
        <v>Negative</v>
      </c>
    </row>
    <row r="567" spans="1:20" x14ac:dyDescent="0.35">
      <c r="A567">
        <v>566</v>
      </c>
      <c r="B567" s="1" t="s">
        <v>18</v>
      </c>
      <c r="C567" s="1" t="s">
        <v>27</v>
      </c>
      <c r="D567" s="1" t="s">
        <v>43</v>
      </c>
      <c r="E567" s="1" t="s">
        <v>49</v>
      </c>
      <c r="F567">
        <v>1233</v>
      </c>
      <c r="G567">
        <v>250</v>
      </c>
      <c r="H567">
        <v>20</v>
      </c>
      <c r="I567">
        <v>2959.2</v>
      </c>
      <c r="J567">
        <v>12330</v>
      </c>
      <c r="K567" s="2">
        <v>41974</v>
      </c>
      <c r="L567">
        <v>12</v>
      </c>
      <c r="M567" s="1" t="s">
        <v>28</v>
      </c>
      <c r="N567" s="1" t="s">
        <v>79</v>
      </c>
      <c r="O567">
        <v>2014</v>
      </c>
      <c r="P567">
        <v>24660</v>
      </c>
      <c r="Q567">
        <v>21700.799999999999</v>
      </c>
      <c r="R567">
        <v>9370.7999999999993</v>
      </c>
      <c r="S567" s="22">
        <v>0.43181818181818182</v>
      </c>
      <c r="T567" t="str" cm="1">
        <f t="array" ref="T567">_xlfn.SWITCH(TRUE,data[[#This Row],[Profit Margin]]&lt;0,"Negative",data[[#This Row],[Profit Margin]]&lt;0.1,"Low",data[[#This Row],[Profit Margin]]&lt;0.2,"Medium","High")</f>
        <v>High</v>
      </c>
    </row>
    <row r="568" spans="1:20" x14ac:dyDescent="0.35">
      <c r="A568">
        <v>567</v>
      </c>
      <c r="B568" s="1" t="s">
        <v>18</v>
      </c>
      <c r="C568" s="1" t="s">
        <v>38</v>
      </c>
      <c r="D568" s="1" t="s">
        <v>45</v>
      </c>
      <c r="E568" s="1" t="s">
        <v>49</v>
      </c>
      <c r="F568">
        <v>270</v>
      </c>
      <c r="G568">
        <v>260</v>
      </c>
      <c r="H568">
        <v>350</v>
      </c>
      <c r="I568">
        <v>11340</v>
      </c>
      <c r="J568">
        <v>70200</v>
      </c>
      <c r="K568" s="2">
        <v>41671</v>
      </c>
      <c r="L568">
        <v>2</v>
      </c>
      <c r="M568" s="1" t="s">
        <v>40</v>
      </c>
      <c r="N568" s="1" t="s">
        <v>85</v>
      </c>
      <c r="O568">
        <v>2014</v>
      </c>
      <c r="P568">
        <v>94500</v>
      </c>
      <c r="Q568">
        <v>83160</v>
      </c>
      <c r="R568">
        <v>12960</v>
      </c>
      <c r="S568" s="22">
        <v>0.15584415584415584</v>
      </c>
      <c r="T568" t="str" cm="1">
        <f t="array" ref="T568">_xlfn.SWITCH(TRUE,data[[#This Row],[Profit Margin]]&lt;0,"Negative",data[[#This Row],[Profit Margin]]&lt;0.1,"Low",data[[#This Row],[Profit Margin]]&lt;0.2,"Medium","High")</f>
        <v>Medium</v>
      </c>
    </row>
    <row r="569" spans="1:20" x14ac:dyDescent="0.35">
      <c r="A569">
        <v>568</v>
      </c>
      <c r="B569" s="1" t="s">
        <v>18</v>
      </c>
      <c r="C569" s="1" t="s">
        <v>25</v>
      </c>
      <c r="D569" s="1" t="s">
        <v>45</v>
      </c>
      <c r="E569" s="1" t="s">
        <v>49</v>
      </c>
      <c r="F569">
        <v>3421.5</v>
      </c>
      <c r="G569">
        <v>260</v>
      </c>
      <c r="H569">
        <v>7</v>
      </c>
      <c r="I569">
        <v>2874.06</v>
      </c>
      <c r="J569">
        <v>17107.5</v>
      </c>
      <c r="K569" s="2">
        <v>41821</v>
      </c>
      <c r="L569">
        <v>7</v>
      </c>
      <c r="M569" s="1" t="s">
        <v>33</v>
      </c>
      <c r="N569" s="1" t="s">
        <v>81</v>
      </c>
      <c r="O569">
        <v>2014</v>
      </c>
      <c r="P569">
        <v>23950.5</v>
      </c>
      <c r="Q569">
        <v>21076.44</v>
      </c>
      <c r="R569">
        <v>3968.9399999999987</v>
      </c>
      <c r="S569" s="22">
        <v>0.18831168831168826</v>
      </c>
      <c r="T569" t="str" cm="1">
        <f t="array" ref="T569">_xlfn.SWITCH(TRUE,data[[#This Row],[Profit Margin]]&lt;0,"Negative",data[[#This Row],[Profit Margin]]&lt;0.1,"Low",data[[#This Row],[Profit Margin]]&lt;0.2,"Medium","High")</f>
        <v>Medium</v>
      </c>
    </row>
    <row r="570" spans="1:20" x14ac:dyDescent="0.35">
      <c r="A570">
        <v>569</v>
      </c>
      <c r="B570" s="1" t="s">
        <v>18</v>
      </c>
      <c r="C570" s="1" t="s">
        <v>19</v>
      </c>
      <c r="D570" s="1" t="s">
        <v>45</v>
      </c>
      <c r="E570" s="1" t="s">
        <v>49</v>
      </c>
      <c r="F570">
        <v>2734</v>
      </c>
      <c r="G570">
        <v>260</v>
      </c>
      <c r="H570">
        <v>7</v>
      </c>
      <c r="I570">
        <v>2296.56</v>
      </c>
      <c r="J570">
        <v>13670</v>
      </c>
      <c r="K570" s="2">
        <v>41913</v>
      </c>
      <c r="L570">
        <v>10</v>
      </c>
      <c r="M570" s="1" t="s">
        <v>37</v>
      </c>
      <c r="N570" s="1" t="s">
        <v>84</v>
      </c>
      <c r="O570">
        <v>2014</v>
      </c>
      <c r="P570">
        <v>19138</v>
      </c>
      <c r="Q570">
        <v>16841.439999999999</v>
      </c>
      <c r="R570">
        <v>3171.4399999999987</v>
      </c>
      <c r="S570" s="22">
        <v>0.18831168831168824</v>
      </c>
      <c r="T570" t="str" cm="1">
        <f t="array" ref="T570">_xlfn.SWITCH(TRUE,data[[#This Row],[Profit Margin]]&lt;0,"Negative",data[[#This Row],[Profit Margin]]&lt;0.1,"Low",data[[#This Row],[Profit Margin]]&lt;0.2,"Medium","High")</f>
        <v>Medium</v>
      </c>
    </row>
    <row r="571" spans="1:20" x14ac:dyDescent="0.35">
      <c r="A571">
        <v>570</v>
      </c>
      <c r="B571" s="1" t="s">
        <v>24</v>
      </c>
      <c r="C571" s="1" t="s">
        <v>38</v>
      </c>
      <c r="D571" s="1" t="s">
        <v>45</v>
      </c>
      <c r="E571" s="1" t="s">
        <v>49</v>
      </c>
      <c r="F571">
        <v>2548</v>
      </c>
      <c r="G571">
        <v>260</v>
      </c>
      <c r="H571">
        <v>15</v>
      </c>
      <c r="I571">
        <v>4586.3999999999996</v>
      </c>
      <c r="J571">
        <v>25480</v>
      </c>
      <c r="K571" s="2">
        <v>41579</v>
      </c>
      <c r="L571">
        <v>11</v>
      </c>
      <c r="M571" s="1" t="s">
        <v>41</v>
      </c>
      <c r="N571" s="1" t="s">
        <v>86</v>
      </c>
      <c r="O571">
        <v>2013</v>
      </c>
      <c r="P571">
        <v>38220</v>
      </c>
      <c r="Q571">
        <v>33633.599999999999</v>
      </c>
      <c r="R571">
        <v>8153.5999999999985</v>
      </c>
      <c r="S571" s="22">
        <v>0.2424242424242424</v>
      </c>
      <c r="T571" t="str" cm="1">
        <f t="array" ref="T571">_xlfn.SWITCH(TRUE,data[[#This Row],[Profit Margin]]&lt;0,"Negative",data[[#This Row],[Profit Margin]]&lt;0.1,"Low",data[[#This Row],[Profit Margin]]&lt;0.2,"Medium","High")</f>
        <v>High</v>
      </c>
    </row>
    <row r="572" spans="1:20" x14ac:dyDescent="0.35">
      <c r="A572">
        <v>571</v>
      </c>
      <c r="B572" s="1" t="s">
        <v>18</v>
      </c>
      <c r="C572" s="1" t="s">
        <v>25</v>
      </c>
      <c r="D572" s="1" t="s">
        <v>20</v>
      </c>
      <c r="E572" s="1" t="s">
        <v>49</v>
      </c>
      <c r="F572">
        <v>2521.5</v>
      </c>
      <c r="G572">
        <v>3</v>
      </c>
      <c r="H572">
        <v>20</v>
      </c>
      <c r="I572">
        <v>6051.6</v>
      </c>
      <c r="J572">
        <v>25215</v>
      </c>
      <c r="K572" s="2">
        <v>41640</v>
      </c>
      <c r="L572">
        <v>1</v>
      </c>
      <c r="M572" s="1" t="s">
        <v>22</v>
      </c>
      <c r="N572" s="1" t="s">
        <v>77</v>
      </c>
      <c r="O572">
        <v>2014</v>
      </c>
      <c r="P572">
        <v>50430</v>
      </c>
      <c r="Q572">
        <v>44378.400000000001</v>
      </c>
      <c r="R572">
        <v>19163.400000000001</v>
      </c>
      <c r="S572" s="22">
        <v>0.43181818181818182</v>
      </c>
      <c r="T572" t="str" cm="1">
        <f t="array" ref="T572">_xlfn.SWITCH(TRUE,data[[#This Row],[Profit Margin]]&lt;0,"Negative",data[[#This Row],[Profit Margin]]&lt;0.1,"Low",data[[#This Row],[Profit Margin]]&lt;0.2,"Medium","High")</f>
        <v>High</v>
      </c>
    </row>
    <row r="573" spans="1:20" x14ac:dyDescent="0.35">
      <c r="A573">
        <v>572</v>
      </c>
      <c r="B573" s="1" t="s">
        <v>31</v>
      </c>
      <c r="C573" s="1" t="s">
        <v>27</v>
      </c>
      <c r="D573" s="1" t="s">
        <v>29</v>
      </c>
      <c r="E573" s="1" t="s">
        <v>49</v>
      </c>
      <c r="F573">
        <v>2661</v>
      </c>
      <c r="G573">
        <v>5</v>
      </c>
      <c r="H573">
        <v>12</v>
      </c>
      <c r="I573">
        <v>3831.84</v>
      </c>
      <c r="J573">
        <v>7983</v>
      </c>
      <c r="K573" s="2">
        <v>41760</v>
      </c>
      <c r="L573">
        <v>5</v>
      </c>
      <c r="M573" s="1" t="s">
        <v>47</v>
      </c>
      <c r="N573" s="1" t="s">
        <v>47</v>
      </c>
      <c r="O573">
        <v>2014</v>
      </c>
      <c r="P573">
        <v>31932</v>
      </c>
      <c r="Q573">
        <v>28100.16</v>
      </c>
      <c r="R573">
        <v>20117.16</v>
      </c>
      <c r="S573" s="22">
        <v>0.71590909090909094</v>
      </c>
      <c r="T573" t="str" cm="1">
        <f t="array" ref="T573">_xlfn.SWITCH(TRUE,data[[#This Row],[Profit Margin]]&lt;0,"Negative",data[[#This Row],[Profit Margin]]&lt;0.1,"Low",data[[#This Row],[Profit Margin]]&lt;0.2,"Medium","High")</f>
        <v>High</v>
      </c>
    </row>
    <row r="574" spans="1:20" x14ac:dyDescent="0.35">
      <c r="A574">
        <v>573</v>
      </c>
      <c r="B574" s="1" t="s">
        <v>18</v>
      </c>
      <c r="C574" s="1" t="s">
        <v>23</v>
      </c>
      <c r="D574" s="1" t="s">
        <v>39</v>
      </c>
      <c r="E574" s="1" t="s">
        <v>49</v>
      </c>
      <c r="F574">
        <v>1531</v>
      </c>
      <c r="G574">
        <v>10</v>
      </c>
      <c r="H574">
        <v>20</v>
      </c>
      <c r="I574">
        <v>3674.4</v>
      </c>
      <c r="J574">
        <v>15310</v>
      </c>
      <c r="K574" s="2">
        <v>41974</v>
      </c>
      <c r="L574">
        <v>12</v>
      </c>
      <c r="M574" s="1" t="s">
        <v>28</v>
      </c>
      <c r="N574" s="1" t="s">
        <v>79</v>
      </c>
      <c r="O574">
        <v>2014</v>
      </c>
      <c r="P574">
        <v>30620</v>
      </c>
      <c r="Q574">
        <v>26945.599999999999</v>
      </c>
      <c r="R574">
        <v>11635.599999999999</v>
      </c>
      <c r="S574" s="22">
        <v>0.43181818181818177</v>
      </c>
      <c r="T574" t="str" cm="1">
        <f t="array" ref="T574">_xlfn.SWITCH(TRUE,data[[#This Row],[Profit Margin]]&lt;0,"Negative",data[[#This Row],[Profit Margin]]&lt;0.1,"Low",data[[#This Row],[Profit Margin]]&lt;0.2,"Medium","High")</f>
        <v>High</v>
      </c>
    </row>
    <row r="575" spans="1:20" x14ac:dyDescent="0.35">
      <c r="A575">
        <v>574</v>
      </c>
      <c r="B575" s="1" t="s">
        <v>18</v>
      </c>
      <c r="C575" s="1" t="s">
        <v>25</v>
      </c>
      <c r="D575" s="1" t="s">
        <v>43</v>
      </c>
      <c r="E575" s="1" t="s">
        <v>49</v>
      </c>
      <c r="F575">
        <v>1491</v>
      </c>
      <c r="G575">
        <v>250</v>
      </c>
      <c r="H575">
        <v>7</v>
      </c>
      <c r="I575">
        <v>1252.44</v>
      </c>
      <c r="J575">
        <v>7455</v>
      </c>
      <c r="K575" s="2">
        <v>41699</v>
      </c>
      <c r="L575">
        <v>3</v>
      </c>
      <c r="M575" s="1" t="s">
        <v>30</v>
      </c>
      <c r="N575" s="1" t="s">
        <v>80</v>
      </c>
      <c r="O575">
        <v>2014</v>
      </c>
      <c r="P575">
        <v>10437</v>
      </c>
      <c r="Q575">
        <v>9184.56</v>
      </c>
      <c r="R575">
        <v>1729.5599999999995</v>
      </c>
      <c r="S575" s="22">
        <v>0.18831168831168826</v>
      </c>
      <c r="T575" t="str" cm="1">
        <f t="array" ref="T575">_xlfn.SWITCH(TRUE,data[[#This Row],[Profit Margin]]&lt;0,"Negative",data[[#This Row],[Profit Margin]]&lt;0.1,"Low",data[[#This Row],[Profit Margin]]&lt;0.2,"Medium","High")</f>
        <v>Medium</v>
      </c>
    </row>
    <row r="576" spans="1:20" x14ac:dyDescent="0.35">
      <c r="A576">
        <v>575</v>
      </c>
      <c r="B576" s="1" t="s">
        <v>18</v>
      </c>
      <c r="C576" s="1" t="s">
        <v>23</v>
      </c>
      <c r="D576" s="1" t="s">
        <v>43</v>
      </c>
      <c r="E576" s="1" t="s">
        <v>49</v>
      </c>
      <c r="F576">
        <v>1531</v>
      </c>
      <c r="G576">
        <v>250</v>
      </c>
      <c r="H576">
        <v>20</v>
      </c>
      <c r="I576">
        <v>3674.4</v>
      </c>
      <c r="J576">
        <v>15310</v>
      </c>
      <c r="K576" s="2">
        <v>41974</v>
      </c>
      <c r="L576">
        <v>12</v>
      </c>
      <c r="M576" s="1" t="s">
        <v>28</v>
      </c>
      <c r="N576" s="1" t="s">
        <v>79</v>
      </c>
      <c r="O576">
        <v>2014</v>
      </c>
      <c r="P576">
        <v>30620</v>
      </c>
      <c r="Q576">
        <v>26945.599999999999</v>
      </c>
      <c r="R576">
        <v>11635.599999999999</v>
      </c>
      <c r="S576" s="22">
        <v>0.43181818181818177</v>
      </c>
      <c r="T576" t="str" cm="1">
        <f t="array" ref="T576">_xlfn.SWITCH(TRUE,data[[#This Row],[Profit Margin]]&lt;0,"Negative",data[[#This Row],[Profit Margin]]&lt;0.1,"Low",data[[#This Row],[Profit Margin]]&lt;0.2,"Medium","High")</f>
        <v>High</v>
      </c>
    </row>
    <row r="577" spans="1:20" x14ac:dyDescent="0.35">
      <c r="A577">
        <v>576</v>
      </c>
      <c r="B577" s="1" t="s">
        <v>31</v>
      </c>
      <c r="C577" s="1" t="s">
        <v>19</v>
      </c>
      <c r="D577" s="1" t="s">
        <v>45</v>
      </c>
      <c r="E577" s="1" t="s">
        <v>49</v>
      </c>
      <c r="F577">
        <v>2761</v>
      </c>
      <c r="G577">
        <v>260</v>
      </c>
      <c r="H577">
        <v>12</v>
      </c>
      <c r="I577">
        <v>3975.84</v>
      </c>
      <c r="J577">
        <v>8283</v>
      </c>
      <c r="K577" s="2">
        <v>41518</v>
      </c>
      <c r="L577">
        <v>9</v>
      </c>
      <c r="M577" s="1" t="s">
        <v>36</v>
      </c>
      <c r="N577" s="1" t="s">
        <v>83</v>
      </c>
      <c r="O577">
        <v>2013</v>
      </c>
      <c r="P577">
        <v>33132</v>
      </c>
      <c r="Q577">
        <v>29156.16</v>
      </c>
      <c r="R577">
        <v>20873.16</v>
      </c>
      <c r="S577" s="22">
        <v>0.71590909090909094</v>
      </c>
      <c r="T577" t="str" cm="1">
        <f t="array" ref="T577">_xlfn.SWITCH(TRUE,data[[#This Row],[Profit Margin]]&lt;0,"Negative",data[[#This Row],[Profit Margin]]&lt;0.1,"Low",data[[#This Row],[Profit Margin]]&lt;0.2,"Medium","High")</f>
        <v>High</v>
      </c>
    </row>
    <row r="578" spans="1:20" x14ac:dyDescent="0.35">
      <c r="A578">
        <v>577</v>
      </c>
      <c r="B578" s="1" t="s">
        <v>24</v>
      </c>
      <c r="C578" s="1" t="s">
        <v>38</v>
      </c>
      <c r="D578" s="1" t="s">
        <v>20</v>
      </c>
      <c r="E578" s="1" t="s">
        <v>49</v>
      </c>
      <c r="F578">
        <v>2567</v>
      </c>
      <c r="G578">
        <v>3</v>
      </c>
      <c r="H578">
        <v>15</v>
      </c>
      <c r="I578">
        <v>5005.6499999999996</v>
      </c>
      <c r="J578">
        <v>25670</v>
      </c>
      <c r="K578" s="2">
        <v>41791</v>
      </c>
      <c r="L578">
        <v>6</v>
      </c>
      <c r="M578" s="1" t="s">
        <v>26</v>
      </c>
      <c r="N578" s="1" t="s">
        <v>78</v>
      </c>
      <c r="O578">
        <v>2014</v>
      </c>
      <c r="P578">
        <v>38505</v>
      </c>
      <c r="Q578">
        <v>33499.35</v>
      </c>
      <c r="R578">
        <v>7829.3499999999985</v>
      </c>
      <c r="S578" s="22">
        <v>0.23371647509578541</v>
      </c>
      <c r="T578" t="str" cm="1">
        <f t="array" ref="T578">_xlfn.SWITCH(TRUE,data[[#This Row],[Profit Margin]]&lt;0,"Negative",data[[#This Row],[Profit Margin]]&lt;0.1,"Low",data[[#This Row],[Profit Margin]]&lt;0.2,"Medium","High")</f>
        <v>High</v>
      </c>
    </row>
    <row r="579" spans="1:20" x14ac:dyDescent="0.35">
      <c r="A579">
        <v>578</v>
      </c>
      <c r="B579" s="1" t="s">
        <v>24</v>
      </c>
      <c r="C579" s="1" t="s">
        <v>38</v>
      </c>
      <c r="D579" s="1" t="s">
        <v>43</v>
      </c>
      <c r="E579" s="1" t="s">
        <v>49</v>
      </c>
      <c r="F579">
        <v>2567</v>
      </c>
      <c r="G579">
        <v>250</v>
      </c>
      <c r="H579">
        <v>15</v>
      </c>
      <c r="I579">
        <v>5005.6499999999996</v>
      </c>
      <c r="J579">
        <v>25670</v>
      </c>
      <c r="K579" s="2">
        <v>41791</v>
      </c>
      <c r="L579">
        <v>6</v>
      </c>
      <c r="M579" s="1" t="s">
        <v>26</v>
      </c>
      <c r="N579" s="1" t="s">
        <v>78</v>
      </c>
      <c r="O579">
        <v>2014</v>
      </c>
      <c r="P579">
        <v>38505</v>
      </c>
      <c r="Q579">
        <v>33499.35</v>
      </c>
      <c r="R579">
        <v>7829.3499999999985</v>
      </c>
      <c r="S579" s="22">
        <v>0.23371647509578541</v>
      </c>
      <c r="T579" t="str" cm="1">
        <f t="array" ref="T579">_xlfn.SWITCH(TRUE,data[[#This Row],[Profit Margin]]&lt;0,"Negative",data[[#This Row],[Profit Margin]]&lt;0.1,"Low",data[[#This Row],[Profit Margin]]&lt;0.2,"Medium","High")</f>
        <v>High</v>
      </c>
    </row>
    <row r="580" spans="1:20" x14ac:dyDescent="0.35">
      <c r="A580">
        <v>579</v>
      </c>
      <c r="B580" s="1" t="s">
        <v>18</v>
      </c>
      <c r="C580" s="1" t="s">
        <v>19</v>
      </c>
      <c r="D580" s="1" t="s">
        <v>20</v>
      </c>
      <c r="E580" s="1" t="s">
        <v>49</v>
      </c>
      <c r="F580">
        <v>923</v>
      </c>
      <c r="G580">
        <v>3</v>
      </c>
      <c r="H580">
        <v>350</v>
      </c>
      <c r="I580">
        <v>41996.5</v>
      </c>
      <c r="J580">
        <v>239980</v>
      </c>
      <c r="K580" s="2">
        <v>41699</v>
      </c>
      <c r="L580">
        <v>3</v>
      </c>
      <c r="M580" s="1" t="s">
        <v>30</v>
      </c>
      <c r="N580" s="1" t="s">
        <v>80</v>
      </c>
      <c r="O580">
        <v>2014</v>
      </c>
      <c r="P580">
        <v>323050</v>
      </c>
      <c r="Q580">
        <v>281053.5</v>
      </c>
      <c r="R580">
        <v>41073.5</v>
      </c>
      <c r="S580" s="22">
        <v>0.14614121510673234</v>
      </c>
      <c r="T580" t="str" cm="1">
        <f t="array" ref="T580">_xlfn.SWITCH(TRUE,data[[#This Row],[Profit Margin]]&lt;0,"Negative",data[[#This Row],[Profit Margin]]&lt;0.1,"Low",data[[#This Row],[Profit Margin]]&lt;0.2,"Medium","High")</f>
        <v>Medium</v>
      </c>
    </row>
    <row r="581" spans="1:20" x14ac:dyDescent="0.35">
      <c r="A581">
        <v>580</v>
      </c>
      <c r="B581" s="1" t="s">
        <v>18</v>
      </c>
      <c r="C581" s="1" t="s">
        <v>25</v>
      </c>
      <c r="D581" s="1" t="s">
        <v>20</v>
      </c>
      <c r="E581" s="1" t="s">
        <v>49</v>
      </c>
      <c r="F581">
        <v>1790</v>
      </c>
      <c r="G581">
        <v>3</v>
      </c>
      <c r="H581">
        <v>350</v>
      </c>
      <c r="I581">
        <v>81445</v>
      </c>
      <c r="J581">
        <v>465400</v>
      </c>
      <c r="K581" s="2">
        <v>41699</v>
      </c>
      <c r="L581">
        <v>3</v>
      </c>
      <c r="M581" s="1" t="s">
        <v>30</v>
      </c>
      <c r="N581" s="1" t="s">
        <v>80</v>
      </c>
      <c r="O581">
        <v>2014</v>
      </c>
      <c r="P581">
        <v>626500</v>
      </c>
      <c r="Q581">
        <v>545055</v>
      </c>
      <c r="R581">
        <v>79655</v>
      </c>
      <c r="S581" s="22">
        <v>0.14614121510673234</v>
      </c>
      <c r="T581" t="str" cm="1">
        <f t="array" ref="T581">_xlfn.SWITCH(TRUE,data[[#This Row],[Profit Margin]]&lt;0,"Negative",data[[#This Row],[Profit Margin]]&lt;0.1,"Low",data[[#This Row],[Profit Margin]]&lt;0.2,"Medium","High")</f>
        <v>Medium</v>
      </c>
    </row>
    <row r="582" spans="1:20" x14ac:dyDescent="0.35">
      <c r="A582">
        <v>581</v>
      </c>
      <c r="B582" s="1" t="s">
        <v>18</v>
      </c>
      <c r="C582" s="1" t="s">
        <v>23</v>
      </c>
      <c r="D582" s="1" t="s">
        <v>20</v>
      </c>
      <c r="E582" s="1" t="s">
        <v>49</v>
      </c>
      <c r="F582">
        <v>442</v>
      </c>
      <c r="G582">
        <v>3</v>
      </c>
      <c r="H582">
        <v>20</v>
      </c>
      <c r="I582">
        <v>1149.2</v>
      </c>
      <c r="J582">
        <v>4420</v>
      </c>
      <c r="K582" s="2">
        <v>41518</v>
      </c>
      <c r="L582">
        <v>9</v>
      </c>
      <c r="M582" s="1" t="s">
        <v>36</v>
      </c>
      <c r="N582" s="1" t="s">
        <v>83</v>
      </c>
      <c r="O582">
        <v>2013</v>
      </c>
      <c r="P582">
        <v>8840</v>
      </c>
      <c r="Q582">
        <v>7690.8</v>
      </c>
      <c r="R582">
        <v>3270.8</v>
      </c>
      <c r="S582" s="22">
        <v>0.42528735632183912</v>
      </c>
      <c r="T582" t="str" cm="1">
        <f t="array" ref="T582">_xlfn.SWITCH(TRUE,data[[#This Row],[Profit Margin]]&lt;0,"Negative",data[[#This Row],[Profit Margin]]&lt;0.1,"Low",data[[#This Row],[Profit Margin]]&lt;0.2,"Medium","High")</f>
        <v>High</v>
      </c>
    </row>
    <row r="583" spans="1:20" x14ac:dyDescent="0.35">
      <c r="A583">
        <v>582</v>
      </c>
      <c r="B583" s="1" t="s">
        <v>18</v>
      </c>
      <c r="C583" s="1" t="s">
        <v>38</v>
      </c>
      <c r="D583" s="1" t="s">
        <v>29</v>
      </c>
      <c r="E583" s="1" t="s">
        <v>49</v>
      </c>
      <c r="F583">
        <v>982.5</v>
      </c>
      <c r="G583">
        <v>5</v>
      </c>
      <c r="H583">
        <v>350</v>
      </c>
      <c r="I583">
        <v>44703.75</v>
      </c>
      <c r="J583">
        <v>255450</v>
      </c>
      <c r="K583" s="2">
        <v>41640</v>
      </c>
      <c r="L583">
        <v>1</v>
      </c>
      <c r="M583" s="1" t="s">
        <v>22</v>
      </c>
      <c r="N583" s="1" t="s">
        <v>77</v>
      </c>
      <c r="O583">
        <v>2014</v>
      </c>
      <c r="P583">
        <v>343875</v>
      </c>
      <c r="Q583">
        <v>299171.25</v>
      </c>
      <c r="R583">
        <v>43721.25</v>
      </c>
      <c r="S583" s="22">
        <v>0.14614121510673234</v>
      </c>
      <c r="T583" t="str" cm="1">
        <f t="array" ref="T583">_xlfn.SWITCH(TRUE,data[[#This Row],[Profit Margin]]&lt;0,"Negative",data[[#This Row],[Profit Margin]]&lt;0.1,"Low",data[[#This Row],[Profit Margin]]&lt;0.2,"Medium","High")</f>
        <v>Medium</v>
      </c>
    </row>
    <row r="584" spans="1:20" x14ac:dyDescent="0.35">
      <c r="A584">
        <v>583</v>
      </c>
      <c r="B584" s="1" t="s">
        <v>18</v>
      </c>
      <c r="C584" s="1" t="s">
        <v>38</v>
      </c>
      <c r="D584" s="1" t="s">
        <v>29</v>
      </c>
      <c r="E584" s="1" t="s">
        <v>49</v>
      </c>
      <c r="F584">
        <v>1298</v>
      </c>
      <c r="G584">
        <v>5</v>
      </c>
      <c r="H584">
        <v>7</v>
      </c>
      <c r="I584">
        <v>1181.18</v>
      </c>
      <c r="J584">
        <v>6490</v>
      </c>
      <c r="K584" s="2">
        <v>41671</v>
      </c>
      <c r="L584">
        <v>2</v>
      </c>
      <c r="M584" s="1" t="s">
        <v>40</v>
      </c>
      <c r="N584" s="1" t="s">
        <v>85</v>
      </c>
      <c r="O584">
        <v>2014</v>
      </c>
      <c r="P584">
        <v>9086</v>
      </c>
      <c r="Q584">
        <v>7904.82</v>
      </c>
      <c r="R584">
        <v>1414.8199999999997</v>
      </c>
      <c r="S584" s="22">
        <v>0.17898193760262723</v>
      </c>
      <c r="T584" t="str" cm="1">
        <f t="array" ref="T584">_xlfn.SWITCH(TRUE,data[[#This Row],[Profit Margin]]&lt;0,"Negative",data[[#This Row],[Profit Margin]]&lt;0.1,"Low",data[[#This Row],[Profit Margin]]&lt;0.2,"Medium","High")</f>
        <v>Medium</v>
      </c>
    </row>
    <row r="585" spans="1:20" x14ac:dyDescent="0.35">
      <c r="A585">
        <v>584</v>
      </c>
      <c r="B585" s="1" t="s">
        <v>31</v>
      </c>
      <c r="C585" s="1" t="s">
        <v>27</v>
      </c>
      <c r="D585" s="1" t="s">
        <v>29</v>
      </c>
      <c r="E585" s="1" t="s">
        <v>49</v>
      </c>
      <c r="F585">
        <v>604</v>
      </c>
      <c r="G585">
        <v>5</v>
      </c>
      <c r="H585">
        <v>12</v>
      </c>
      <c r="I585">
        <v>942.24</v>
      </c>
      <c r="J585">
        <v>1812</v>
      </c>
      <c r="K585" s="2">
        <v>41791</v>
      </c>
      <c r="L585">
        <v>6</v>
      </c>
      <c r="M585" s="1" t="s">
        <v>26</v>
      </c>
      <c r="N585" s="1" t="s">
        <v>78</v>
      </c>
      <c r="O585">
        <v>2014</v>
      </c>
      <c r="P585">
        <v>7248</v>
      </c>
      <c r="Q585">
        <v>6305.76</v>
      </c>
      <c r="R585">
        <v>4493.76</v>
      </c>
      <c r="S585" s="22">
        <v>0.71264367816091956</v>
      </c>
      <c r="T585" t="str" cm="1">
        <f t="array" ref="T585">_xlfn.SWITCH(TRUE,data[[#This Row],[Profit Margin]]&lt;0,"Negative",data[[#This Row],[Profit Margin]]&lt;0.1,"Low",data[[#This Row],[Profit Margin]]&lt;0.2,"Medium","High")</f>
        <v>High</v>
      </c>
    </row>
    <row r="586" spans="1:20" x14ac:dyDescent="0.35">
      <c r="A586">
        <v>585</v>
      </c>
      <c r="B586" s="1" t="s">
        <v>18</v>
      </c>
      <c r="C586" s="1" t="s">
        <v>27</v>
      </c>
      <c r="D586" s="1" t="s">
        <v>29</v>
      </c>
      <c r="E586" s="1" t="s">
        <v>49</v>
      </c>
      <c r="F586">
        <v>2255</v>
      </c>
      <c r="G586">
        <v>5</v>
      </c>
      <c r="H586">
        <v>20</v>
      </c>
      <c r="I586">
        <v>5863</v>
      </c>
      <c r="J586">
        <v>22550</v>
      </c>
      <c r="K586" s="2">
        <v>41821</v>
      </c>
      <c r="L586">
        <v>7</v>
      </c>
      <c r="M586" s="1" t="s">
        <v>33</v>
      </c>
      <c r="N586" s="1" t="s">
        <v>81</v>
      </c>
      <c r="O586">
        <v>2014</v>
      </c>
      <c r="P586">
        <v>45100</v>
      </c>
      <c r="Q586">
        <v>39237</v>
      </c>
      <c r="R586">
        <v>16687</v>
      </c>
      <c r="S586" s="22">
        <v>0.42528735632183906</v>
      </c>
      <c r="T586" t="str" cm="1">
        <f t="array" ref="T586">_xlfn.SWITCH(TRUE,data[[#This Row],[Profit Margin]]&lt;0,"Negative",data[[#This Row],[Profit Margin]]&lt;0.1,"Low",data[[#This Row],[Profit Margin]]&lt;0.2,"Medium","High")</f>
        <v>High</v>
      </c>
    </row>
    <row r="587" spans="1:20" x14ac:dyDescent="0.35">
      <c r="A587">
        <v>586</v>
      </c>
      <c r="B587" s="1" t="s">
        <v>18</v>
      </c>
      <c r="C587" s="1" t="s">
        <v>19</v>
      </c>
      <c r="D587" s="1" t="s">
        <v>29</v>
      </c>
      <c r="E587" s="1" t="s">
        <v>49</v>
      </c>
      <c r="F587">
        <v>1249</v>
      </c>
      <c r="G587">
        <v>5</v>
      </c>
      <c r="H587">
        <v>20</v>
      </c>
      <c r="I587">
        <v>3247.4</v>
      </c>
      <c r="J587">
        <v>12490</v>
      </c>
      <c r="K587" s="2">
        <v>41913</v>
      </c>
      <c r="L587">
        <v>10</v>
      </c>
      <c r="M587" s="1" t="s">
        <v>37</v>
      </c>
      <c r="N587" s="1" t="s">
        <v>84</v>
      </c>
      <c r="O587">
        <v>2014</v>
      </c>
      <c r="P587">
        <v>24980</v>
      </c>
      <c r="Q587">
        <v>21732.6</v>
      </c>
      <c r="R587">
        <v>9242.5999999999985</v>
      </c>
      <c r="S587" s="22">
        <v>0.42528735632183906</v>
      </c>
      <c r="T587" t="str" cm="1">
        <f t="array" ref="T587">_xlfn.SWITCH(TRUE,data[[#This Row],[Profit Margin]]&lt;0,"Negative",data[[#This Row],[Profit Margin]]&lt;0.1,"Low",data[[#This Row],[Profit Margin]]&lt;0.2,"Medium","High")</f>
        <v>High</v>
      </c>
    </row>
    <row r="588" spans="1:20" x14ac:dyDescent="0.35">
      <c r="A588">
        <v>587</v>
      </c>
      <c r="B588" s="1" t="s">
        <v>18</v>
      </c>
      <c r="C588" s="1" t="s">
        <v>38</v>
      </c>
      <c r="D588" s="1" t="s">
        <v>39</v>
      </c>
      <c r="E588" s="1" t="s">
        <v>49</v>
      </c>
      <c r="F588">
        <v>1438.5</v>
      </c>
      <c r="G588">
        <v>10</v>
      </c>
      <c r="H588">
        <v>7</v>
      </c>
      <c r="I588">
        <v>1309.0350000000001</v>
      </c>
      <c r="J588">
        <v>7192.5</v>
      </c>
      <c r="K588" s="2">
        <v>41640</v>
      </c>
      <c r="L588">
        <v>1</v>
      </c>
      <c r="M588" s="1" t="s">
        <v>22</v>
      </c>
      <c r="N588" s="1" t="s">
        <v>77</v>
      </c>
      <c r="O588">
        <v>2014</v>
      </c>
      <c r="P588">
        <v>10069.5</v>
      </c>
      <c r="Q588">
        <v>8760.4650000000001</v>
      </c>
      <c r="R588">
        <v>1567.9650000000001</v>
      </c>
      <c r="S588" s="22">
        <v>0.17898193760262726</v>
      </c>
      <c r="T588" t="str" cm="1">
        <f t="array" ref="T588">_xlfn.SWITCH(TRUE,data[[#This Row],[Profit Margin]]&lt;0,"Negative",data[[#This Row],[Profit Margin]]&lt;0.1,"Low",data[[#This Row],[Profit Margin]]&lt;0.2,"Medium","High")</f>
        <v>Medium</v>
      </c>
    </row>
    <row r="589" spans="1:20" x14ac:dyDescent="0.35">
      <c r="A589">
        <v>588</v>
      </c>
      <c r="B589" s="1" t="s">
        <v>34</v>
      </c>
      <c r="C589" s="1" t="s">
        <v>23</v>
      </c>
      <c r="D589" s="1" t="s">
        <v>39</v>
      </c>
      <c r="E589" s="1" t="s">
        <v>49</v>
      </c>
      <c r="F589">
        <v>807</v>
      </c>
      <c r="G589">
        <v>10</v>
      </c>
      <c r="H589">
        <v>300</v>
      </c>
      <c r="I589">
        <v>31473</v>
      </c>
      <c r="J589">
        <v>201750</v>
      </c>
      <c r="K589" s="2">
        <v>41640</v>
      </c>
      <c r="L589">
        <v>1</v>
      </c>
      <c r="M589" s="1" t="s">
        <v>22</v>
      </c>
      <c r="N589" s="1" t="s">
        <v>77</v>
      </c>
      <c r="O589">
        <v>2014</v>
      </c>
      <c r="P589">
        <v>242100</v>
      </c>
      <c r="Q589">
        <v>210627</v>
      </c>
      <c r="R589">
        <v>8877</v>
      </c>
      <c r="S589" s="22">
        <v>4.2145593869731802E-2</v>
      </c>
      <c r="T589" t="str" cm="1">
        <f t="array" ref="T589">_xlfn.SWITCH(TRUE,data[[#This Row],[Profit Margin]]&lt;0,"Negative",data[[#This Row],[Profit Margin]]&lt;0.1,"Low",data[[#This Row],[Profit Margin]]&lt;0.2,"Medium","High")</f>
        <v>Low</v>
      </c>
    </row>
    <row r="590" spans="1:20" x14ac:dyDescent="0.35">
      <c r="A590">
        <v>589</v>
      </c>
      <c r="B590" s="1" t="s">
        <v>18</v>
      </c>
      <c r="C590" s="1" t="s">
        <v>38</v>
      </c>
      <c r="D590" s="1" t="s">
        <v>39</v>
      </c>
      <c r="E590" s="1" t="s">
        <v>49</v>
      </c>
      <c r="F590">
        <v>2641</v>
      </c>
      <c r="G590">
        <v>10</v>
      </c>
      <c r="H590">
        <v>20</v>
      </c>
      <c r="I590">
        <v>6866.6</v>
      </c>
      <c r="J590">
        <v>26410</v>
      </c>
      <c r="K590" s="2">
        <v>41671</v>
      </c>
      <c r="L590">
        <v>2</v>
      </c>
      <c r="M590" s="1" t="s">
        <v>40</v>
      </c>
      <c r="N590" s="1" t="s">
        <v>85</v>
      </c>
      <c r="O590">
        <v>2014</v>
      </c>
      <c r="P590">
        <v>52820</v>
      </c>
      <c r="Q590">
        <v>45953.4</v>
      </c>
      <c r="R590">
        <v>19543.400000000001</v>
      </c>
      <c r="S590" s="22">
        <v>0.42528735632183912</v>
      </c>
      <c r="T590" t="str" cm="1">
        <f t="array" ref="T590">_xlfn.SWITCH(TRUE,data[[#This Row],[Profit Margin]]&lt;0,"Negative",data[[#This Row],[Profit Margin]]&lt;0.1,"Low",data[[#This Row],[Profit Margin]]&lt;0.2,"Medium","High")</f>
        <v>High</v>
      </c>
    </row>
    <row r="591" spans="1:20" x14ac:dyDescent="0.35">
      <c r="A591">
        <v>590</v>
      </c>
      <c r="B591" s="1" t="s">
        <v>18</v>
      </c>
      <c r="C591" s="1" t="s">
        <v>23</v>
      </c>
      <c r="D591" s="1" t="s">
        <v>39</v>
      </c>
      <c r="E591" s="1" t="s">
        <v>49</v>
      </c>
      <c r="F591">
        <v>2708</v>
      </c>
      <c r="G591">
        <v>10</v>
      </c>
      <c r="H591">
        <v>20</v>
      </c>
      <c r="I591">
        <v>7040.8</v>
      </c>
      <c r="J591">
        <v>27080</v>
      </c>
      <c r="K591" s="2">
        <v>41671</v>
      </c>
      <c r="L591">
        <v>2</v>
      </c>
      <c r="M591" s="1" t="s">
        <v>40</v>
      </c>
      <c r="N591" s="1" t="s">
        <v>85</v>
      </c>
      <c r="O591">
        <v>2014</v>
      </c>
      <c r="P591">
        <v>54160</v>
      </c>
      <c r="Q591">
        <v>47119.199999999997</v>
      </c>
      <c r="R591">
        <v>20039.199999999997</v>
      </c>
      <c r="S591" s="22">
        <v>0.42528735632183906</v>
      </c>
      <c r="T591" t="str" cm="1">
        <f t="array" ref="T591">_xlfn.SWITCH(TRUE,data[[#This Row],[Profit Margin]]&lt;0,"Negative",data[[#This Row],[Profit Margin]]&lt;0.1,"Low",data[[#This Row],[Profit Margin]]&lt;0.2,"Medium","High")</f>
        <v>High</v>
      </c>
    </row>
    <row r="592" spans="1:20" x14ac:dyDescent="0.35">
      <c r="A592">
        <v>591</v>
      </c>
      <c r="B592" s="1" t="s">
        <v>18</v>
      </c>
      <c r="C592" s="1" t="s">
        <v>19</v>
      </c>
      <c r="D592" s="1" t="s">
        <v>39</v>
      </c>
      <c r="E592" s="1" t="s">
        <v>49</v>
      </c>
      <c r="F592">
        <v>2632</v>
      </c>
      <c r="G592">
        <v>10</v>
      </c>
      <c r="H592">
        <v>350</v>
      </c>
      <c r="I592">
        <v>119756</v>
      </c>
      <c r="J592">
        <v>684320</v>
      </c>
      <c r="K592" s="2">
        <v>41791</v>
      </c>
      <c r="L592">
        <v>6</v>
      </c>
      <c r="M592" s="1" t="s">
        <v>26</v>
      </c>
      <c r="N592" s="1" t="s">
        <v>78</v>
      </c>
      <c r="O592">
        <v>2014</v>
      </c>
      <c r="P592">
        <v>921200</v>
      </c>
      <c r="Q592">
        <v>801444</v>
      </c>
      <c r="R592">
        <v>117124</v>
      </c>
      <c r="S592" s="22">
        <v>0.14614121510673234</v>
      </c>
      <c r="T592" t="str" cm="1">
        <f t="array" ref="T592">_xlfn.SWITCH(TRUE,data[[#This Row],[Profit Margin]]&lt;0,"Negative",data[[#This Row],[Profit Margin]]&lt;0.1,"Low",data[[#This Row],[Profit Margin]]&lt;0.2,"Medium","High")</f>
        <v>Medium</v>
      </c>
    </row>
    <row r="593" spans="1:20" x14ac:dyDescent="0.35">
      <c r="A593">
        <v>592</v>
      </c>
      <c r="B593" s="1" t="s">
        <v>32</v>
      </c>
      <c r="C593" s="1" t="s">
        <v>19</v>
      </c>
      <c r="D593" s="1" t="s">
        <v>39</v>
      </c>
      <c r="E593" s="1" t="s">
        <v>49</v>
      </c>
      <c r="F593">
        <v>1583</v>
      </c>
      <c r="G593">
        <v>10</v>
      </c>
      <c r="H593">
        <v>125</v>
      </c>
      <c r="I593">
        <v>25723.75</v>
      </c>
      <c r="J593">
        <v>189960</v>
      </c>
      <c r="K593" s="2">
        <v>41791</v>
      </c>
      <c r="L593">
        <v>6</v>
      </c>
      <c r="M593" s="1" t="s">
        <v>26</v>
      </c>
      <c r="N593" s="1" t="s">
        <v>78</v>
      </c>
      <c r="O593">
        <v>2014</v>
      </c>
      <c r="P593">
        <v>197875</v>
      </c>
      <c r="Q593">
        <v>172151.25</v>
      </c>
      <c r="R593">
        <v>-17808.75</v>
      </c>
      <c r="S593" s="22">
        <v>-0.10344827586206896</v>
      </c>
      <c r="T593" t="str" cm="1">
        <f t="array" ref="T593">_xlfn.SWITCH(TRUE,data[[#This Row],[Profit Margin]]&lt;0,"Negative",data[[#This Row],[Profit Margin]]&lt;0.1,"Low",data[[#This Row],[Profit Margin]]&lt;0.2,"Medium","High")</f>
        <v>Negative</v>
      </c>
    </row>
    <row r="594" spans="1:20" x14ac:dyDescent="0.35">
      <c r="A594">
        <v>593</v>
      </c>
      <c r="B594" s="1" t="s">
        <v>31</v>
      </c>
      <c r="C594" s="1" t="s">
        <v>27</v>
      </c>
      <c r="D594" s="1" t="s">
        <v>39</v>
      </c>
      <c r="E594" s="1" t="s">
        <v>49</v>
      </c>
      <c r="F594">
        <v>571</v>
      </c>
      <c r="G594">
        <v>10</v>
      </c>
      <c r="H594">
        <v>12</v>
      </c>
      <c r="I594">
        <v>890.76</v>
      </c>
      <c r="J594">
        <v>1713</v>
      </c>
      <c r="K594" s="2">
        <v>41821</v>
      </c>
      <c r="L594">
        <v>7</v>
      </c>
      <c r="M594" s="1" t="s">
        <v>33</v>
      </c>
      <c r="N594" s="1" t="s">
        <v>81</v>
      </c>
      <c r="O594">
        <v>2014</v>
      </c>
      <c r="P594">
        <v>6852</v>
      </c>
      <c r="Q594">
        <v>5961.24</v>
      </c>
      <c r="R594">
        <v>4248.24</v>
      </c>
      <c r="S594" s="22">
        <v>0.71264367816091956</v>
      </c>
      <c r="T594" t="str" cm="1">
        <f t="array" ref="T594">_xlfn.SWITCH(TRUE,data[[#This Row],[Profit Margin]]&lt;0,"Negative",data[[#This Row],[Profit Margin]]&lt;0.1,"Low",data[[#This Row],[Profit Margin]]&lt;0.2,"Medium","High")</f>
        <v>High</v>
      </c>
    </row>
    <row r="595" spans="1:20" x14ac:dyDescent="0.35">
      <c r="A595">
        <v>594</v>
      </c>
      <c r="B595" s="1" t="s">
        <v>18</v>
      </c>
      <c r="C595" s="1" t="s">
        <v>25</v>
      </c>
      <c r="D595" s="1" t="s">
        <v>39</v>
      </c>
      <c r="E595" s="1" t="s">
        <v>49</v>
      </c>
      <c r="F595">
        <v>2696</v>
      </c>
      <c r="G595">
        <v>10</v>
      </c>
      <c r="H595">
        <v>7</v>
      </c>
      <c r="I595">
        <v>2453.36</v>
      </c>
      <c r="J595">
        <v>13480</v>
      </c>
      <c r="K595" s="2">
        <v>41852</v>
      </c>
      <c r="L595">
        <v>8</v>
      </c>
      <c r="M595" s="1" t="s">
        <v>35</v>
      </c>
      <c r="N595" s="1" t="s">
        <v>82</v>
      </c>
      <c r="O595">
        <v>2014</v>
      </c>
      <c r="P595">
        <v>18872</v>
      </c>
      <c r="Q595">
        <v>16418.64</v>
      </c>
      <c r="R595">
        <v>2938.6399999999994</v>
      </c>
      <c r="S595" s="22">
        <v>0.17898193760262723</v>
      </c>
      <c r="T595" t="str" cm="1">
        <f t="array" ref="T595">_xlfn.SWITCH(TRUE,data[[#This Row],[Profit Margin]]&lt;0,"Negative",data[[#This Row],[Profit Margin]]&lt;0.1,"Low",data[[#This Row],[Profit Margin]]&lt;0.2,"Medium","High")</f>
        <v>Medium</v>
      </c>
    </row>
    <row r="596" spans="1:20" x14ac:dyDescent="0.35">
      <c r="A596">
        <v>595</v>
      </c>
      <c r="B596" s="1" t="s">
        <v>24</v>
      </c>
      <c r="C596" s="1" t="s">
        <v>19</v>
      </c>
      <c r="D596" s="1" t="s">
        <v>39</v>
      </c>
      <c r="E596" s="1" t="s">
        <v>49</v>
      </c>
      <c r="F596">
        <v>1565</v>
      </c>
      <c r="G596">
        <v>10</v>
      </c>
      <c r="H596">
        <v>15</v>
      </c>
      <c r="I596">
        <v>3051.75</v>
      </c>
      <c r="J596">
        <v>15650</v>
      </c>
      <c r="K596" s="2">
        <v>41913</v>
      </c>
      <c r="L596">
        <v>10</v>
      </c>
      <c r="M596" s="1" t="s">
        <v>37</v>
      </c>
      <c r="N596" s="1" t="s">
        <v>84</v>
      </c>
      <c r="O596">
        <v>2014</v>
      </c>
      <c r="P596">
        <v>23475</v>
      </c>
      <c r="Q596">
        <v>20423.25</v>
      </c>
      <c r="R596">
        <v>4773.25</v>
      </c>
      <c r="S596" s="22">
        <v>0.23371647509578544</v>
      </c>
      <c r="T596" t="str" cm="1">
        <f t="array" ref="T596">_xlfn.SWITCH(TRUE,data[[#This Row],[Profit Margin]]&lt;0,"Negative",data[[#This Row],[Profit Margin]]&lt;0.1,"Low",data[[#This Row],[Profit Margin]]&lt;0.2,"Medium","High")</f>
        <v>High</v>
      </c>
    </row>
    <row r="597" spans="1:20" x14ac:dyDescent="0.35">
      <c r="A597">
        <v>596</v>
      </c>
      <c r="B597" s="1" t="s">
        <v>18</v>
      </c>
      <c r="C597" s="1" t="s">
        <v>19</v>
      </c>
      <c r="D597" s="1" t="s">
        <v>39</v>
      </c>
      <c r="E597" s="1" t="s">
        <v>49</v>
      </c>
      <c r="F597">
        <v>1249</v>
      </c>
      <c r="G597">
        <v>10</v>
      </c>
      <c r="H597">
        <v>20</v>
      </c>
      <c r="I597">
        <v>3247.4</v>
      </c>
      <c r="J597">
        <v>12490</v>
      </c>
      <c r="K597" s="2">
        <v>41913</v>
      </c>
      <c r="L597">
        <v>10</v>
      </c>
      <c r="M597" s="1" t="s">
        <v>37</v>
      </c>
      <c r="N597" s="1" t="s">
        <v>84</v>
      </c>
      <c r="O597">
        <v>2014</v>
      </c>
      <c r="P597">
        <v>24980</v>
      </c>
      <c r="Q597">
        <v>21732.6</v>
      </c>
      <c r="R597">
        <v>9242.5999999999985</v>
      </c>
      <c r="S597" s="22">
        <v>0.42528735632183906</v>
      </c>
      <c r="T597" t="str" cm="1">
        <f t="array" ref="T597">_xlfn.SWITCH(TRUE,data[[#This Row],[Profit Margin]]&lt;0,"Negative",data[[#This Row],[Profit Margin]]&lt;0.1,"Low",data[[#This Row],[Profit Margin]]&lt;0.2,"Medium","High")</f>
        <v>High</v>
      </c>
    </row>
    <row r="598" spans="1:20" x14ac:dyDescent="0.35">
      <c r="A598">
        <v>597</v>
      </c>
      <c r="B598" s="1" t="s">
        <v>18</v>
      </c>
      <c r="C598" s="1" t="s">
        <v>23</v>
      </c>
      <c r="D598" s="1" t="s">
        <v>39</v>
      </c>
      <c r="E598" s="1" t="s">
        <v>49</v>
      </c>
      <c r="F598">
        <v>357</v>
      </c>
      <c r="G598">
        <v>10</v>
      </c>
      <c r="H598">
        <v>350</v>
      </c>
      <c r="I598">
        <v>16243.5</v>
      </c>
      <c r="J598">
        <v>92820</v>
      </c>
      <c r="K598" s="2">
        <v>41944</v>
      </c>
      <c r="L598">
        <v>11</v>
      </c>
      <c r="M598" s="1" t="s">
        <v>41</v>
      </c>
      <c r="N598" s="1" t="s">
        <v>86</v>
      </c>
      <c r="O598">
        <v>2014</v>
      </c>
      <c r="P598">
        <v>124950</v>
      </c>
      <c r="Q598">
        <v>108706.5</v>
      </c>
      <c r="R598">
        <v>15886.5</v>
      </c>
      <c r="S598" s="22">
        <v>0.14614121510673234</v>
      </c>
      <c r="T598" t="str" cm="1">
        <f t="array" ref="T598">_xlfn.SWITCH(TRUE,data[[#This Row],[Profit Margin]]&lt;0,"Negative",data[[#This Row],[Profit Margin]]&lt;0.1,"Low",data[[#This Row],[Profit Margin]]&lt;0.2,"Medium","High")</f>
        <v>Medium</v>
      </c>
    </row>
    <row r="599" spans="1:20" x14ac:dyDescent="0.35">
      <c r="A599">
        <v>598</v>
      </c>
      <c r="B599" s="1" t="s">
        <v>31</v>
      </c>
      <c r="C599" s="1" t="s">
        <v>23</v>
      </c>
      <c r="D599" s="1" t="s">
        <v>39</v>
      </c>
      <c r="E599" s="1" t="s">
        <v>49</v>
      </c>
      <c r="F599">
        <v>1013</v>
      </c>
      <c r="G599">
        <v>10</v>
      </c>
      <c r="H599">
        <v>12</v>
      </c>
      <c r="I599">
        <v>1580.28</v>
      </c>
      <c r="J599">
        <v>3039</v>
      </c>
      <c r="K599" s="2">
        <v>41974</v>
      </c>
      <c r="L599">
        <v>12</v>
      </c>
      <c r="M599" s="1" t="s">
        <v>28</v>
      </c>
      <c r="N599" s="1" t="s">
        <v>79</v>
      </c>
      <c r="O599">
        <v>2014</v>
      </c>
      <c r="P599">
        <v>12156</v>
      </c>
      <c r="Q599">
        <v>10575.72</v>
      </c>
      <c r="R599">
        <v>7536.7199999999993</v>
      </c>
      <c r="S599" s="22">
        <v>0.71264367816091956</v>
      </c>
      <c r="T599" t="str" cm="1">
        <f t="array" ref="T599">_xlfn.SWITCH(TRUE,data[[#This Row],[Profit Margin]]&lt;0,"Negative",data[[#This Row],[Profit Margin]]&lt;0.1,"Low",data[[#This Row],[Profit Margin]]&lt;0.2,"Medium","High")</f>
        <v>High</v>
      </c>
    </row>
    <row r="600" spans="1:20" x14ac:dyDescent="0.35">
      <c r="A600">
        <v>599</v>
      </c>
      <c r="B600" s="1" t="s">
        <v>24</v>
      </c>
      <c r="C600" s="1" t="s">
        <v>25</v>
      </c>
      <c r="D600" s="1" t="s">
        <v>42</v>
      </c>
      <c r="E600" s="1" t="s">
        <v>49</v>
      </c>
      <c r="F600">
        <v>3997.5</v>
      </c>
      <c r="G600">
        <v>120</v>
      </c>
      <c r="H600">
        <v>15</v>
      </c>
      <c r="I600">
        <v>7795.125</v>
      </c>
      <c r="J600">
        <v>39975</v>
      </c>
      <c r="K600" s="2">
        <v>41640</v>
      </c>
      <c r="L600">
        <v>1</v>
      </c>
      <c r="M600" s="1" t="s">
        <v>22</v>
      </c>
      <c r="N600" s="1" t="s">
        <v>77</v>
      </c>
      <c r="O600">
        <v>2014</v>
      </c>
      <c r="P600">
        <v>59962.5</v>
      </c>
      <c r="Q600">
        <v>52167.375</v>
      </c>
      <c r="R600">
        <v>12192.375</v>
      </c>
      <c r="S600" s="22">
        <v>0.23371647509578544</v>
      </c>
      <c r="T600" t="str" cm="1">
        <f t="array" ref="T600">_xlfn.SWITCH(TRUE,data[[#This Row],[Profit Margin]]&lt;0,"Negative",data[[#This Row],[Profit Margin]]&lt;0.1,"Low",data[[#This Row],[Profit Margin]]&lt;0.2,"Medium","High")</f>
        <v>High</v>
      </c>
    </row>
    <row r="601" spans="1:20" x14ac:dyDescent="0.35">
      <c r="A601">
        <v>600</v>
      </c>
      <c r="B601" s="1" t="s">
        <v>18</v>
      </c>
      <c r="C601" s="1" t="s">
        <v>19</v>
      </c>
      <c r="D601" s="1" t="s">
        <v>42</v>
      </c>
      <c r="E601" s="1" t="s">
        <v>49</v>
      </c>
      <c r="F601">
        <v>2632</v>
      </c>
      <c r="G601">
        <v>120</v>
      </c>
      <c r="H601">
        <v>350</v>
      </c>
      <c r="I601">
        <v>119756</v>
      </c>
      <c r="J601">
        <v>684320</v>
      </c>
      <c r="K601" s="2">
        <v>41791</v>
      </c>
      <c r="L601">
        <v>6</v>
      </c>
      <c r="M601" s="1" t="s">
        <v>26</v>
      </c>
      <c r="N601" s="1" t="s">
        <v>78</v>
      </c>
      <c r="O601">
        <v>2014</v>
      </c>
      <c r="P601">
        <v>921200</v>
      </c>
      <c r="Q601">
        <v>801444</v>
      </c>
      <c r="R601">
        <v>117124</v>
      </c>
      <c r="S601" s="22">
        <v>0.14614121510673234</v>
      </c>
      <c r="T601" t="str" cm="1">
        <f t="array" ref="T601">_xlfn.SWITCH(TRUE,data[[#This Row],[Profit Margin]]&lt;0,"Negative",data[[#This Row],[Profit Margin]]&lt;0.1,"Low",data[[#This Row],[Profit Margin]]&lt;0.2,"Medium","High")</f>
        <v>Medium</v>
      </c>
    </row>
    <row r="602" spans="1:20" x14ac:dyDescent="0.35">
      <c r="A602">
        <v>601</v>
      </c>
      <c r="B602" s="1" t="s">
        <v>18</v>
      </c>
      <c r="C602" s="1" t="s">
        <v>25</v>
      </c>
      <c r="D602" s="1" t="s">
        <v>42</v>
      </c>
      <c r="E602" s="1" t="s">
        <v>49</v>
      </c>
      <c r="F602">
        <v>1190</v>
      </c>
      <c r="G602">
        <v>120</v>
      </c>
      <c r="H602">
        <v>7</v>
      </c>
      <c r="I602">
        <v>1082.9000000000001</v>
      </c>
      <c r="J602">
        <v>5950</v>
      </c>
      <c r="K602" s="2">
        <v>41791</v>
      </c>
      <c r="L602">
        <v>6</v>
      </c>
      <c r="M602" s="1" t="s">
        <v>26</v>
      </c>
      <c r="N602" s="1" t="s">
        <v>78</v>
      </c>
      <c r="O602">
        <v>2014</v>
      </c>
      <c r="P602">
        <v>8330</v>
      </c>
      <c r="Q602">
        <v>7247.1</v>
      </c>
      <c r="R602">
        <v>1297.1000000000004</v>
      </c>
      <c r="S602" s="22">
        <v>0.17898193760262729</v>
      </c>
      <c r="T602" t="str" cm="1">
        <f t="array" ref="T602">_xlfn.SWITCH(TRUE,data[[#This Row],[Profit Margin]]&lt;0,"Negative",data[[#This Row],[Profit Margin]]&lt;0.1,"Low",data[[#This Row],[Profit Margin]]&lt;0.2,"Medium","High")</f>
        <v>Medium</v>
      </c>
    </row>
    <row r="603" spans="1:20" x14ac:dyDescent="0.35">
      <c r="A603">
        <v>602</v>
      </c>
      <c r="B603" s="1" t="s">
        <v>31</v>
      </c>
      <c r="C603" s="1" t="s">
        <v>27</v>
      </c>
      <c r="D603" s="1" t="s">
        <v>42</v>
      </c>
      <c r="E603" s="1" t="s">
        <v>49</v>
      </c>
      <c r="F603">
        <v>604</v>
      </c>
      <c r="G603">
        <v>120</v>
      </c>
      <c r="H603">
        <v>12</v>
      </c>
      <c r="I603">
        <v>942.24</v>
      </c>
      <c r="J603">
        <v>1812</v>
      </c>
      <c r="K603" s="2">
        <v>41791</v>
      </c>
      <c r="L603">
        <v>6</v>
      </c>
      <c r="M603" s="1" t="s">
        <v>26</v>
      </c>
      <c r="N603" s="1" t="s">
        <v>78</v>
      </c>
      <c r="O603">
        <v>2014</v>
      </c>
      <c r="P603">
        <v>7248</v>
      </c>
      <c r="Q603">
        <v>6305.76</v>
      </c>
      <c r="R603">
        <v>4493.76</v>
      </c>
      <c r="S603" s="22">
        <v>0.71264367816091956</v>
      </c>
      <c r="T603" t="str" cm="1">
        <f t="array" ref="T603">_xlfn.SWITCH(TRUE,data[[#This Row],[Profit Margin]]&lt;0,"Negative",data[[#This Row],[Profit Margin]]&lt;0.1,"Low",data[[#This Row],[Profit Margin]]&lt;0.2,"Medium","High")</f>
        <v>High</v>
      </c>
    </row>
    <row r="604" spans="1:20" x14ac:dyDescent="0.35">
      <c r="A604">
        <v>603</v>
      </c>
      <c r="B604" s="1" t="s">
        <v>24</v>
      </c>
      <c r="C604" s="1" t="s">
        <v>23</v>
      </c>
      <c r="D604" s="1" t="s">
        <v>42</v>
      </c>
      <c r="E604" s="1" t="s">
        <v>49</v>
      </c>
      <c r="F604">
        <v>660</v>
      </c>
      <c r="G604">
        <v>120</v>
      </c>
      <c r="H604">
        <v>15</v>
      </c>
      <c r="I604">
        <v>1287</v>
      </c>
      <c r="J604">
        <v>6600</v>
      </c>
      <c r="K604" s="2">
        <v>41518</v>
      </c>
      <c r="L604">
        <v>9</v>
      </c>
      <c r="M604" s="1" t="s">
        <v>36</v>
      </c>
      <c r="N604" s="1" t="s">
        <v>83</v>
      </c>
      <c r="O604">
        <v>2013</v>
      </c>
      <c r="P604">
        <v>9900</v>
      </c>
      <c r="Q604">
        <v>8613</v>
      </c>
      <c r="R604">
        <v>2013</v>
      </c>
      <c r="S604" s="22">
        <v>0.23371647509578544</v>
      </c>
      <c r="T604" t="str" cm="1">
        <f t="array" ref="T604">_xlfn.SWITCH(TRUE,data[[#This Row],[Profit Margin]]&lt;0,"Negative",data[[#This Row],[Profit Margin]]&lt;0.1,"Low",data[[#This Row],[Profit Margin]]&lt;0.2,"Medium","High")</f>
        <v>High</v>
      </c>
    </row>
    <row r="605" spans="1:20" x14ac:dyDescent="0.35">
      <c r="A605">
        <v>604</v>
      </c>
      <c r="B605" s="1" t="s">
        <v>31</v>
      </c>
      <c r="C605" s="1" t="s">
        <v>27</v>
      </c>
      <c r="D605" s="1" t="s">
        <v>42</v>
      </c>
      <c r="E605" s="1" t="s">
        <v>49</v>
      </c>
      <c r="F605">
        <v>410</v>
      </c>
      <c r="G605">
        <v>120</v>
      </c>
      <c r="H605">
        <v>12</v>
      </c>
      <c r="I605">
        <v>639.6</v>
      </c>
      <c r="J605">
        <v>1230</v>
      </c>
      <c r="K605" s="2">
        <v>41913</v>
      </c>
      <c r="L605">
        <v>10</v>
      </c>
      <c r="M605" s="1" t="s">
        <v>37</v>
      </c>
      <c r="N605" s="1" t="s">
        <v>84</v>
      </c>
      <c r="O605">
        <v>2014</v>
      </c>
      <c r="P605">
        <v>4920</v>
      </c>
      <c r="Q605">
        <v>4280.3999999999996</v>
      </c>
      <c r="R605">
        <v>3050.3999999999996</v>
      </c>
      <c r="S605" s="22">
        <v>0.71264367816091956</v>
      </c>
      <c r="T605" t="str" cm="1">
        <f t="array" ref="T605">_xlfn.SWITCH(TRUE,data[[#This Row],[Profit Margin]]&lt;0,"Negative",data[[#This Row],[Profit Margin]]&lt;0.1,"Low",data[[#This Row],[Profit Margin]]&lt;0.2,"Medium","High")</f>
        <v>High</v>
      </c>
    </row>
    <row r="606" spans="1:20" x14ac:dyDescent="0.35">
      <c r="A606">
        <v>605</v>
      </c>
      <c r="B606" s="1" t="s">
        <v>34</v>
      </c>
      <c r="C606" s="1" t="s">
        <v>27</v>
      </c>
      <c r="D606" s="1" t="s">
        <v>42</v>
      </c>
      <c r="E606" s="1" t="s">
        <v>49</v>
      </c>
      <c r="F606">
        <v>2605</v>
      </c>
      <c r="G606">
        <v>120</v>
      </c>
      <c r="H606">
        <v>300</v>
      </c>
      <c r="I606">
        <v>101595</v>
      </c>
      <c r="J606">
        <v>651250</v>
      </c>
      <c r="K606" s="2">
        <v>41579</v>
      </c>
      <c r="L606">
        <v>11</v>
      </c>
      <c r="M606" s="1" t="s">
        <v>41</v>
      </c>
      <c r="N606" s="1" t="s">
        <v>86</v>
      </c>
      <c r="O606">
        <v>2013</v>
      </c>
      <c r="P606">
        <v>781500</v>
      </c>
      <c r="Q606">
        <v>679905</v>
      </c>
      <c r="R606">
        <v>28655</v>
      </c>
      <c r="S606" s="22">
        <v>4.2145593869731802E-2</v>
      </c>
      <c r="T606" t="str" cm="1">
        <f t="array" ref="T606">_xlfn.SWITCH(TRUE,data[[#This Row],[Profit Margin]]&lt;0,"Negative",data[[#This Row],[Profit Margin]]&lt;0.1,"Low",data[[#This Row],[Profit Margin]]&lt;0.2,"Medium","High")</f>
        <v>Low</v>
      </c>
    </row>
    <row r="607" spans="1:20" x14ac:dyDescent="0.35">
      <c r="A607">
        <v>606</v>
      </c>
      <c r="B607" s="1" t="s">
        <v>31</v>
      </c>
      <c r="C607" s="1" t="s">
        <v>23</v>
      </c>
      <c r="D607" s="1" t="s">
        <v>42</v>
      </c>
      <c r="E607" s="1" t="s">
        <v>49</v>
      </c>
      <c r="F607">
        <v>1013</v>
      </c>
      <c r="G607">
        <v>120</v>
      </c>
      <c r="H607">
        <v>12</v>
      </c>
      <c r="I607">
        <v>1580.28</v>
      </c>
      <c r="J607">
        <v>3039</v>
      </c>
      <c r="K607" s="2">
        <v>41974</v>
      </c>
      <c r="L607">
        <v>12</v>
      </c>
      <c r="M607" s="1" t="s">
        <v>28</v>
      </c>
      <c r="N607" s="1" t="s">
        <v>79</v>
      </c>
      <c r="O607">
        <v>2014</v>
      </c>
      <c r="P607">
        <v>12156</v>
      </c>
      <c r="Q607">
        <v>10575.72</v>
      </c>
      <c r="R607">
        <v>7536.7199999999993</v>
      </c>
      <c r="S607" s="22">
        <v>0.71264367816091956</v>
      </c>
      <c r="T607" t="str" cm="1">
        <f t="array" ref="T607">_xlfn.SWITCH(TRUE,data[[#This Row],[Profit Margin]]&lt;0,"Negative",data[[#This Row],[Profit Margin]]&lt;0.1,"Low",data[[#This Row],[Profit Margin]]&lt;0.2,"Medium","High")</f>
        <v>High</v>
      </c>
    </row>
    <row r="608" spans="1:20" x14ac:dyDescent="0.35">
      <c r="A608">
        <v>607</v>
      </c>
      <c r="B608" s="1" t="s">
        <v>32</v>
      </c>
      <c r="C608" s="1" t="s">
        <v>19</v>
      </c>
      <c r="D608" s="1" t="s">
        <v>43</v>
      </c>
      <c r="E608" s="1" t="s">
        <v>49</v>
      </c>
      <c r="F608">
        <v>1583</v>
      </c>
      <c r="G608">
        <v>250</v>
      </c>
      <c r="H608">
        <v>125</v>
      </c>
      <c r="I608">
        <v>25723.75</v>
      </c>
      <c r="J608">
        <v>189960</v>
      </c>
      <c r="K608" s="2">
        <v>41791</v>
      </c>
      <c r="L608">
        <v>6</v>
      </c>
      <c r="M608" s="1" t="s">
        <v>26</v>
      </c>
      <c r="N608" s="1" t="s">
        <v>78</v>
      </c>
      <c r="O608">
        <v>2014</v>
      </c>
      <c r="P608">
        <v>197875</v>
      </c>
      <c r="Q608">
        <v>172151.25</v>
      </c>
      <c r="R608">
        <v>-17808.75</v>
      </c>
      <c r="S608" s="22">
        <v>-0.10344827586206896</v>
      </c>
      <c r="T608" t="str" cm="1">
        <f t="array" ref="T608">_xlfn.SWITCH(TRUE,data[[#This Row],[Profit Margin]]&lt;0,"Negative",data[[#This Row],[Profit Margin]]&lt;0.1,"Low",data[[#This Row],[Profit Margin]]&lt;0.2,"Medium","High")</f>
        <v>Negative</v>
      </c>
    </row>
    <row r="609" spans="1:20" x14ac:dyDescent="0.35">
      <c r="A609">
        <v>608</v>
      </c>
      <c r="B609" s="1" t="s">
        <v>24</v>
      </c>
      <c r="C609" s="1" t="s">
        <v>19</v>
      </c>
      <c r="D609" s="1" t="s">
        <v>43</v>
      </c>
      <c r="E609" s="1" t="s">
        <v>49</v>
      </c>
      <c r="F609">
        <v>1565</v>
      </c>
      <c r="G609">
        <v>250</v>
      </c>
      <c r="H609">
        <v>15</v>
      </c>
      <c r="I609">
        <v>3051.75</v>
      </c>
      <c r="J609">
        <v>15650</v>
      </c>
      <c r="K609" s="2">
        <v>41913</v>
      </c>
      <c r="L609">
        <v>10</v>
      </c>
      <c r="M609" s="1" t="s">
        <v>37</v>
      </c>
      <c r="N609" s="1" t="s">
        <v>84</v>
      </c>
      <c r="O609">
        <v>2014</v>
      </c>
      <c r="P609">
        <v>23475</v>
      </c>
      <c r="Q609">
        <v>20423.25</v>
      </c>
      <c r="R609">
        <v>4773.25</v>
      </c>
      <c r="S609" s="22">
        <v>0.23371647509578544</v>
      </c>
      <c r="T609" t="str" cm="1">
        <f t="array" ref="T609">_xlfn.SWITCH(TRUE,data[[#This Row],[Profit Margin]]&lt;0,"Negative",data[[#This Row],[Profit Margin]]&lt;0.1,"Low",data[[#This Row],[Profit Margin]]&lt;0.2,"Medium","High")</f>
        <v>High</v>
      </c>
    </row>
    <row r="610" spans="1:20" x14ac:dyDescent="0.35">
      <c r="A610">
        <v>609</v>
      </c>
      <c r="B610" s="1" t="s">
        <v>32</v>
      </c>
      <c r="C610" s="1" t="s">
        <v>19</v>
      </c>
      <c r="D610" s="1" t="s">
        <v>45</v>
      </c>
      <c r="E610" s="1" t="s">
        <v>49</v>
      </c>
      <c r="F610">
        <v>1659</v>
      </c>
      <c r="G610">
        <v>260</v>
      </c>
      <c r="H610">
        <v>125</v>
      </c>
      <c r="I610">
        <v>26958.75</v>
      </c>
      <c r="J610">
        <v>199080</v>
      </c>
      <c r="K610" s="2">
        <v>41640</v>
      </c>
      <c r="L610">
        <v>1</v>
      </c>
      <c r="M610" s="1" t="s">
        <v>22</v>
      </c>
      <c r="N610" s="1" t="s">
        <v>77</v>
      </c>
      <c r="O610">
        <v>2014</v>
      </c>
      <c r="P610">
        <v>207375</v>
      </c>
      <c r="Q610">
        <v>180416.25</v>
      </c>
      <c r="R610">
        <v>-18663.75</v>
      </c>
      <c r="S610" s="22">
        <v>-0.10344827586206896</v>
      </c>
      <c r="T610" t="str" cm="1">
        <f t="array" ref="T610">_xlfn.SWITCH(TRUE,data[[#This Row],[Profit Margin]]&lt;0,"Negative",data[[#This Row],[Profit Margin]]&lt;0.1,"Low",data[[#This Row],[Profit Margin]]&lt;0.2,"Medium","High")</f>
        <v>Negative</v>
      </c>
    </row>
    <row r="611" spans="1:20" x14ac:dyDescent="0.35">
      <c r="A611">
        <v>610</v>
      </c>
      <c r="B611" s="1" t="s">
        <v>18</v>
      </c>
      <c r="C611" s="1" t="s">
        <v>25</v>
      </c>
      <c r="D611" s="1" t="s">
        <v>45</v>
      </c>
      <c r="E611" s="1" t="s">
        <v>49</v>
      </c>
      <c r="F611">
        <v>1190</v>
      </c>
      <c r="G611">
        <v>260</v>
      </c>
      <c r="H611">
        <v>7</v>
      </c>
      <c r="I611">
        <v>1082.9000000000001</v>
      </c>
      <c r="J611">
        <v>5950</v>
      </c>
      <c r="K611" s="2">
        <v>41791</v>
      </c>
      <c r="L611">
        <v>6</v>
      </c>
      <c r="M611" s="1" t="s">
        <v>26</v>
      </c>
      <c r="N611" s="1" t="s">
        <v>78</v>
      </c>
      <c r="O611">
        <v>2014</v>
      </c>
      <c r="P611">
        <v>8330</v>
      </c>
      <c r="Q611">
        <v>7247.1</v>
      </c>
      <c r="R611">
        <v>1297.1000000000004</v>
      </c>
      <c r="S611" s="22">
        <v>0.17898193760262729</v>
      </c>
      <c r="T611" t="str" cm="1">
        <f t="array" ref="T611">_xlfn.SWITCH(TRUE,data[[#This Row],[Profit Margin]]&lt;0,"Negative",data[[#This Row],[Profit Margin]]&lt;0.1,"Low",data[[#This Row],[Profit Margin]]&lt;0.2,"Medium","High")</f>
        <v>Medium</v>
      </c>
    </row>
    <row r="612" spans="1:20" x14ac:dyDescent="0.35">
      <c r="A612">
        <v>611</v>
      </c>
      <c r="B612" s="1" t="s">
        <v>31</v>
      </c>
      <c r="C612" s="1" t="s">
        <v>27</v>
      </c>
      <c r="D612" s="1" t="s">
        <v>45</v>
      </c>
      <c r="E612" s="1" t="s">
        <v>49</v>
      </c>
      <c r="F612">
        <v>410</v>
      </c>
      <c r="G612">
        <v>260</v>
      </c>
      <c r="H612">
        <v>12</v>
      </c>
      <c r="I612">
        <v>639.6</v>
      </c>
      <c r="J612">
        <v>1230</v>
      </c>
      <c r="K612" s="2">
        <v>41913</v>
      </c>
      <c r="L612">
        <v>10</v>
      </c>
      <c r="M612" s="1" t="s">
        <v>37</v>
      </c>
      <c r="N612" s="1" t="s">
        <v>84</v>
      </c>
      <c r="O612">
        <v>2014</v>
      </c>
      <c r="P612">
        <v>4920</v>
      </c>
      <c r="Q612">
        <v>4280.3999999999996</v>
      </c>
      <c r="R612">
        <v>3050.3999999999996</v>
      </c>
      <c r="S612" s="22">
        <v>0.71264367816091956</v>
      </c>
      <c r="T612" t="str" cm="1">
        <f t="array" ref="T612">_xlfn.SWITCH(TRUE,data[[#This Row],[Profit Margin]]&lt;0,"Negative",data[[#This Row],[Profit Margin]]&lt;0.1,"Low",data[[#This Row],[Profit Margin]]&lt;0.2,"Medium","High")</f>
        <v>High</v>
      </c>
    </row>
    <row r="613" spans="1:20" x14ac:dyDescent="0.35">
      <c r="A613">
        <v>612</v>
      </c>
      <c r="B613" s="1" t="s">
        <v>31</v>
      </c>
      <c r="C613" s="1" t="s">
        <v>23</v>
      </c>
      <c r="D613" s="1" t="s">
        <v>45</v>
      </c>
      <c r="E613" s="1" t="s">
        <v>49</v>
      </c>
      <c r="F613">
        <v>1770</v>
      </c>
      <c r="G613">
        <v>260</v>
      </c>
      <c r="H613">
        <v>12</v>
      </c>
      <c r="I613">
        <v>2761.2</v>
      </c>
      <c r="J613">
        <v>5310</v>
      </c>
      <c r="K613" s="2">
        <v>41609</v>
      </c>
      <c r="L613">
        <v>12</v>
      </c>
      <c r="M613" s="1" t="s">
        <v>28</v>
      </c>
      <c r="N613" s="1" t="s">
        <v>79</v>
      </c>
      <c r="O613">
        <v>2013</v>
      </c>
      <c r="P613">
        <v>21240</v>
      </c>
      <c r="Q613">
        <v>18478.8</v>
      </c>
      <c r="R613">
        <v>13168.8</v>
      </c>
      <c r="S613" s="22">
        <v>0.71264367816091956</v>
      </c>
      <c r="T613" t="str" cm="1">
        <f t="array" ref="T613">_xlfn.SWITCH(TRUE,data[[#This Row],[Profit Margin]]&lt;0,"Negative",data[[#This Row],[Profit Margin]]&lt;0.1,"Low",data[[#This Row],[Profit Margin]]&lt;0.2,"Medium","High")</f>
        <v>High</v>
      </c>
    </row>
    <row r="614" spans="1:20" x14ac:dyDescent="0.35">
      <c r="A614">
        <v>613</v>
      </c>
      <c r="B614" s="1" t="s">
        <v>18</v>
      </c>
      <c r="C614" s="1" t="s">
        <v>27</v>
      </c>
      <c r="D614" s="1" t="s">
        <v>20</v>
      </c>
      <c r="E614" s="1" t="s">
        <v>49</v>
      </c>
      <c r="F614">
        <v>2579</v>
      </c>
      <c r="G614">
        <v>3</v>
      </c>
      <c r="H614">
        <v>20</v>
      </c>
      <c r="I614">
        <v>7221.2</v>
      </c>
      <c r="J614">
        <v>25790</v>
      </c>
      <c r="K614" s="2">
        <v>41730</v>
      </c>
      <c r="L614">
        <v>4</v>
      </c>
      <c r="M614" s="1" t="s">
        <v>44</v>
      </c>
      <c r="N614" s="1" t="s">
        <v>87</v>
      </c>
      <c r="O614">
        <v>2014</v>
      </c>
      <c r="P614">
        <v>51580</v>
      </c>
      <c r="Q614">
        <v>44358.8</v>
      </c>
      <c r="R614">
        <v>18568.800000000003</v>
      </c>
      <c r="S614" s="22">
        <v>0.41860465116279072</v>
      </c>
      <c r="T614" t="str" cm="1">
        <f t="array" ref="T614">_xlfn.SWITCH(TRUE,data[[#This Row],[Profit Margin]]&lt;0,"Negative",data[[#This Row],[Profit Margin]]&lt;0.1,"Low",data[[#This Row],[Profit Margin]]&lt;0.2,"Medium","High")</f>
        <v>High</v>
      </c>
    </row>
    <row r="615" spans="1:20" x14ac:dyDescent="0.35">
      <c r="A615">
        <v>614</v>
      </c>
      <c r="B615" s="1" t="s">
        <v>18</v>
      </c>
      <c r="C615" s="1" t="s">
        <v>38</v>
      </c>
      <c r="D615" s="1" t="s">
        <v>20</v>
      </c>
      <c r="E615" s="1" t="s">
        <v>49</v>
      </c>
      <c r="F615">
        <v>1743</v>
      </c>
      <c r="G615">
        <v>3</v>
      </c>
      <c r="H615">
        <v>20</v>
      </c>
      <c r="I615">
        <v>4880.3999999999996</v>
      </c>
      <c r="J615">
        <v>17430</v>
      </c>
      <c r="K615" s="2">
        <v>41760</v>
      </c>
      <c r="L615">
        <v>5</v>
      </c>
      <c r="M615" s="1" t="s">
        <v>47</v>
      </c>
      <c r="N615" s="1" t="s">
        <v>47</v>
      </c>
      <c r="O615">
        <v>2014</v>
      </c>
      <c r="P615">
        <v>34860</v>
      </c>
      <c r="Q615">
        <v>29979.599999999999</v>
      </c>
      <c r="R615">
        <v>12549.599999999999</v>
      </c>
      <c r="S615" s="22">
        <v>0.41860465116279066</v>
      </c>
      <c r="T615" t="str" cm="1">
        <f t="array" ref="T615">_xlfn.SWITCH(TRUE,data[[#This Row],[Profit Margin]]&lt;0,"Negative",data[[#This Row],[Profit Margin]]&lt;0.1,"Low",data[[#This Row],[Profit Margin]]&lt;0.2,"Medium","High")</f>
        <v>High</v>
      </c>
    </row>
    <row r="616" spans="1:20" x14ac:dyDescent="0.35">
      <c r="A616">
        <v>615</v>
      </c>
      <c r="B616" s="1" t="s">
        <v>18</v>
      </c>
      <c r="C616" s="1" t="s">
        <v>38</v>
      </c>
      <c r="D616" s="1" t="s">
        <v>20</v>
      </c>
      <c r="E616" s="1" t="s">
        <v>49</v>
      </c>
      <c r="F616">
        <v>2996</v>
      </c>
      <c r="G616">
        <v>3</v>
      </c>
      <c r="H616">
        <v>7</v>
      </c>
      <c r="I616">
        <v>2936.08</v>
      </c>
      <c r="J616">
        <v>14980</v>
      </c>
      <c r="K616" s="2">
        <v>41548</v>
      </c>
      <c r="L616">
        <v>10</v>
      </c>
      <c r="M616" s="1" t="s">
        <v>37</v>
      </c>
      <c r="N616" s="1" t="s">
        <v>84</v>
      </c>
      <c r="O616">
        <v>2013</v>
      </c>
      <c r="P616">
        <v>20972</v>
      </c>
      <c r="Q616">
        <v>18035.919999999998</v>
      </c>
      <c r="R616">
        <v>3055.9199999999983</v>
      </c>
      <c r="S616" s="22">
        <v>0.16943521594684377</v>
      </c>
      <c r="T616" t="str" cm="1">
        <f t="array" ref="T616">_xlfn.SWITCH(TRUE,data[[#This Row],[Profit Margin]]&lt;0,"Negative",data[[#This Row],[Profit Margin]]&lt;0.1,"Low",data[[#This Row],[Profit Margin]]&lt;0.2,"Medium","High")</f>
        <v>Medium</v>
      </c>
    </row>
    <row r="617" spans="1:20" x14ac:dyDescent="0.35">
      <c r="A617">
        <v>616</v>
      </c>
      <c r="B617" s="1" t="s">
        <v>18</v>
      </c>
      <c r="C617" s="1" t="s">
        <v>23</v>
      </c>
      <c r="D617" s="1" t="s">
        <v>20</v>
      </c>
      <c r="E617" s="1" t="s">
        <v>49</v>
      </c>
      <c r="F617">
        <v>280</v>
      </c>
      <c r="G617">
        <v>3</v>
      </c>
      <c r="H617">
        <v>7</v>
      </c>
      <c r="I617">
        <v>274.39999999999998</v>
      </c>
      <c r="J617">
        <v>1400</v>
      </c>
      <c r="K617" s="2">
        <v>41974</v>
      </c>
      <c r="L617">
        <v>12</v>
      </c>
      <c r="M617" s="1" t="s">
        <v>28</v>
      </c>
      <c r="N617" s="1" t="s">
        <v>79</v>
      </c>
      <c r="O617">
        <v>2014</v>
      </c>
      <c r="P617">
        <v>1960</v>
      </c>
      <c r="Q617">
        <v>1685.6</v>
      </c>
      <c r="R617">
        <v>285.59999999999991</v>
      </c>
      <c r="S617" s="22">
        <v>0.1694352159468438</v>
      </c>
      <c r="T617" t="str" cm="1">
        <f t="array" ref="T617">_xlfn.SWITCH(TRUE,data[[#This Row],[Profit Margin]]&lt;0,"Negative",data[[#This Row],[Profit Margin]]&lt;0.1,"Low",data[[#This Row],[Profit Margin]]&lt;0.2,"Medium","High")</f>
        <v>Medium</v>
      </c>
    </row>
    <row r="618" spans="1:20" x14ac:dyDescent="0.35">
      <c r="A618">
        <v>617</v>
      </c>
      <c r="B618" s="1" t="s">
        <v>18</v>
      </c>
      <c r="C618" s="1" t="s">
        <v>25</v>
      </c>
      <c r="D618" s="1" t="s">
        <v>29</v>
      </c>
      <c r="E618" s="1" t="s">
        <v>49</v>
      </c>
      <c r="F618">
        <v>293</v>
      </c>
      <c r="G618">
        <v>5</v>
      </c>
      <c r="H618">
        <v>7</v>
      </c>
      <c r="I618">
        <v>287.14</v>
      </c>
      <c r="J618">
        <v>1465</v>
      </c>
      <c r="K618" s="2">
        <v>41671</v>
      </c>
      <c r="L618">
        <v>2</v>
      </c>
      <c r="M618" s="1" t="s">
        <v>40</v>
      </c>
      <c r="N618" s="1" t="s">
        <v>85</v>
      </c>
      <c r="O618">
        <v>2014</v>
      </c>
      <c r="P618">
        <v>2051</v>
      </c>
      <c r="Q618">
        <v>1763.8600000000001</v>
      </c>
      <c r="R618">
        <v>298.86000000000013</v>
      </c>
      <c r="S618" s="22">
        <v>0.16943521594684391</v>
      </c>
      <c r="T618" t="str" cm="1">
        <f t="array" ref="T618">_xlfn.SWITCH(TRUE,data[[#This Row],[Profit Margin]]&lt;0,"Negative",data[[#This Row],[Profit Margin]]&lt;0.1,"Low",data[[#This Row],[Profit Margin]]&lt;0.2,"Medium","High")</f>
        <v>Medium</v>
      </c>
    </row>
    <row r="619" spans="1:20" x14ac:dyDescent="0.35">
      <c r="A619">
        <v>618</v>
      </c>
      <c r="B619" s="1" t="s">
        <v>18</v>
      </c>
      <c r="C619" s="1" t="s">
        <v>38</v>
      </c>
      <c r="D619" s="1" t="s">
        <v>29</v>
      </c>
      <c r="E619" s="1" t="s">
        <v>49</v>
      </c>
      <c r="F619">
        <v>2996</v>
      </c>
      <c r="G619">
        <v>5</v>
      </c>
      <c r="H619">
        <v>7</v>
      </c>
      <c r="I619">
        <v>2936.08</v>
      </c>
      <c r="J619">
        <v>14980</v>
      </c>
      <c r="K619" s="2">
        <v>41548</v>
      </c>
      <c r="L619">
        <v>10</v>
      </c>
      <c r="M619" s="1" t="s">
        <v>37</v>
      </c>
      <c r="N619" s="1" t="s">
        <v>84</v>
      </c>
      <c r="O619">
        <v>2013</v>
      </c>
      <c r="P619">
        <v>20972</v>
      </c>
      <c r="Q619">
        <v>18035.919999999998</v>
      </c>
      <c r="R619">
        <v>3055.9199999999983</v>
      </c>
      <c r="S619" s="22">
        <v>0.16943521594684377</v>
      </c>
      <c r="T619" t="str" cm="1">
        <f t="array" ref="T619">_xlfn.SWITCH(TRUE,data[[#This Row],[Profit Margin]]&lt;0,"Negative",data[[#This Row],[Profit Margin]]&lt;0.1,"Low",data[[#This Row],[Profit Margin]]&lt;0.2,"Medium","High")</f>
        <v>Medium</v>
      </c>
    </row>
    <row r="620" spans="1:20" x14ac:dyDescent="0.35">
      <c r="A620">
        <v>619</v>
      </c>
      <c r="B620" s="1" t="s">
        <v>24</v>
      </c>
      <c r="C620" s="1" t="s">
        <v>23</v>
      </c>
      <c r="D620" s="1" t="s">
        <v>39</v>
      </c>
      <c r="E620" s="1" t="s">
        <v>49</v>
      </c>
      <c r="F620">
        <v>278</v>
      </c>
      <c r="G620">
        <v>10</v>
      </c>
      <c r="H620">
        <v>15</v>
      </c>
      <c r="I620">
        <v>583.79999999999995</v>
      </c>
      <c r="J620">
        <v>2780</v>
      </c>
      <c r="K620" s="2">
        <v>41671</v>
      </c>
      <c r="L620">
        <v>2</v>
      </c>
      <c r="M620" s="1" t="s">
        <v>40</v>
      </c>
      <c r="N620" s="1" t="s">
        <v>85</v>
      </c>
      <c r="O620">
        <v>2014</v>
      </c>
      <c r="P620">
        <v>4170</v>
      </c>
      <c r="Q620">
        <v>3586.2</v>
      </c>
      <c r="R620">
        <v>806.19999999999982</v>
      </c>
      <c r="S620" s="22">
        <v>0.22480620155038755</v>
      </c>
      <c r="T620" t="str" cm="1">
        <f t="array" ref="T620">_xlfn.SWITCH(TRUE,data[[#This Row],[Profit Margin]]&lt;0,"Negative",data[[#This Row],[Profit Margin]]&lt;0.1,"Low",data[[#This Row],[Profit Margin]]&lt;0.2,"Medium","High")</f>
        <v>High</v>
      </c>
    </row>
    <row r="621" spans="1:20" x14ac:dyDescent="0.35">
      <c r="A621">
        <v>620</v>
      </c>
      <c r="B621" s="1" t="s">
        <v>18</v>
      </c>
      <c r="C621" s="1" t="s">
        <v>19</v>
      </c>
      <c r="D621" s="1" t="s">
        <v>39</v>
      </c>
      <c r="E621" s="1" t="s">
        <v>49</v>
      </c>
      <c r="F621">
        <v>2428</v>
      </c>
      <c r="G621">
        <v>10</v>
      </c>
      <c r="H621">
        <v>20</v>
      </c>
      <c r="I621">
        <v>6798.4</v>
      </c>
      <c r="J621">
        <v>24280</v>
      </c>
      <c r="K621" s="2">
        <v>41699</v>
      </c>
      <c r="L621">
        <v>3</v>
      </c>
      <c r="M621" s="1" t="s">
        <v>30</v>
      </c>
      <c r="N621" s="1" t="s">
        <v>80</v>
      </c>
      <c r="O621">
        <v>2014</v>
      </c>
      <c r="P621">
        <v>48560</v>
      </c>
      <c r="Q621">
        <v>41761.599999999999</v>
      </c>
      <c r="R621">
        <v>17481.599999999999</v>
      </c>
      <c r="S621" s="22">
        <v>0.41860465116279066</v>
      </c>
      <c r="T621" t="str" cm="1">
        <f t="array" ref="T621">_xlfn.SWITCH(TRUE,data[[#This Row],[Profit Margin]]&lt;0,"Negative",data[[#This Row],[Profit Margin]]&lt;0.1,"Low",data[[#This Row],[Profit Margin]]&lt;0.2,"Medium","High")</f>
        <v>High</v>
      </c>
    </row>
    <row r="622" spans="1:20" x14ac:dyDescent="0.35">
      <c r="A622">
        <v>621</v>
      </c>
      <c r="B622" s="1" t="s">
        <v>24</v>
      </c>
      <c r="C622" s="1" t="s">
        <v>38</v>
      </c>
      <c r="D622" s="1" t="s">
        <v>39</v>
      </c>
      <c r="E622" s="1" t="s">
        <v>49</v>
      </c>
      <c r="F622">
        <v>1767</v>
      </c>
      <c r="G622">
        <v>10</v>
      </c>
      <c r="H622">
        <v>15</v>
      </c>
      <c r="I622">
        <v>3710.7</v>
      </c>
      <c r="J622">
        <v>17670</v>
      </c>
      <c r="K622" s="2">
        <v>41883</v>
      </c>
      <c r="L622">
        <v>9</v>
      </c>
      <c r="M622" s="1" t="s">
        <v>36</v>
      </c>
      <c r="N622" s="1" t="s">
        <v>83</v>
      </c>
      <c r="O622">
        <v>2014</v>
      </c>
      <c r="P622">
        <v>26505</v>
      </c>
      <c r="Q622">
        <v>22794.3</v>
      </c>
      <c r="R622">
        <v>5124.2999999999993</v>
      </c>
      <c r="S622" s="22">
        <v>0.22480620155038758</v>
      </c>
      <c r="T622" t="str" cm="1">
        <f t="array" ref="T622">_xlfn.SWITCH(TRUE,data[[#This Row],[Profit Margin]]&lt;0,"Negative",data[[#This Row],[Profit Margin]]&lt;0.1,"Low",data[[#This Row],[Profit Margin]]&lt;0.2,"Medium","High")</f>
        <v>High</v>
      </c>
    </row>
    <row r="623" spans="1:20" x14ac:dyDescent="0.35">
      <c r="A623">
        <v>622</v>
      </c>
      <c r="B623" s="1" t="s">
        <v>31</v>
      </c>
      <c r="C623" s="1" t="s">
        <v>25</v>
      </c>
      <c r="D623" s="1" t="s">
        <v>39</v>
      </c>
      <c r="E623" s="1" t="s">
        <v>49</v>
      </c>
      <c r="F623">
        <v>1393</v>
      </c>
      <c r="G623">
        <v>10</v>
      </c>
      <c r="H623">
        <v>12</v>
      </c>
      <c r="I623">
        <v>2340.2399999999998</v>
      </c>
      <c r="J623">
        <v>4179</v>
      </c>
      <c r="K623" s="2">
        <v>41913</v>
      </c>
      <c r="L623">
        <v>10</v>
      </c>
      <c r="M623" s="1" t="s">
        <v>37</v>
      </c>
      <c r="N623" s="1" t="s">
        <v>84</v>
      </c>
      <c r="O623">
        <v>2014</v>
      </c>
      <c r="P623">
        <v>16716</v>
      </c>
      <c r="Q623">
        <v>14375.76</v>
      </c>
      <c r="R623">
        <v>10196.76</v>
      </c>
      <c r="S623" s="22">
        <v>0.70930232558139539</v>
      </c>
      <c r="T623" t="str" cm="1">
        <f t="array" ref="T623">_xlfn.SWITCH(TRUE,data[[#This Row],[Profit Margin]]&lt;0,"Negative",data[[#This Row],[Profit Margin]]&lt;0.1,"Low",data[[#This Row],[Profit Margin]]&lt;0.2,"Medium","High")</f>
        <v>High</v>
      </c>
    </row>
    <row r="624" spans="1:20" x14ac:dyDescent="0.35">
      <c r="A624">
        <v>623</v>
      </c>
      <c r="B624" s="1" t="s">
        <v>18</v>
      </c>
      <c r="C624" s="1" t="s">
        <v>23</v>
      </c>
      <c r="D624" s="1" t="s">
        <v>43</v>
      </c>
      <c r="E624" s="1" t="s">
        <v>49</v>
      </c>
      <c r="F624">
        <v>280</v>
      </c>
      <c r="G624">
        <v>250</v>
      </c>
      <c r="H624">
        <v>7</v>
      </c>
      <c r="I624">
        <v>274.39999999999998</v>
      </c>
      <c r="J624">
        <v>1400</v>
      </c>
      <c r="K624" s="2">
        <v>41974</v>
      </c>
      <c r="L624">
        <v>12</v>
      </c>
      <c r="M624" s="1" t="s">
        <v>28</v>
      </c>
      <c r="N624" s="1" t="s">
        <v>79</v>
      </c>
      <c r="O624">
        <v>2014</v>
      </c>
      <c r="P624">
        <v>1960</v>
      </c>
      <c r="Q624">
        <v>1685.6</v>
      </c>
      <c r="R624">
        <v>285.59999999999991</v>
      </c>
      <c r="S624" s="22">
        <v>0.1694352159468438</v>
      </c>
      <c r="T624" t="str" cm="1">
        <f t="array" ref="T624">_xlfn.SWITCH(TRUE,data[[#This Row],[Profit Margin]]&lt;0,"Negative",data[[#This Row],[Profit Margin]]&lt;0.1,"Low",data[[#This Row],[Profit Margin]]&lt;0.2,"Medium","High")</f>
        <v>Medium</v>
      </c>
    </row>
    <row r="625" spans="1:20" x14ac:dyDescent="0.35">
      <c r="A625">
        <v>624</v>
      </c>
      <c r="B625" s="1" t="s">
        <v>31</v>
      </c>
      <c r="C625" s="1" t="s">
        <v>25</v>
      </c>
      <c r="D625" s="1" t="s">
        <v>45</v>
      </c>
      <c r="E625" s="1" t="s">
        <v>49</v>
      </c>
      <c r="F625">
        <v>1393</v>
      </c>
      <c r="G625">
        <v>260</v>
      </c>
      <c r="H625">
        <v>12</v>
      </c>
      <c r="I625">
        <v>2340.2399999999998</v>
      </c>
      <c r="J625">
        <v>4179</v>
      </c>
      <c r="K625" s="2">
        <v>41913</v>
      </c>
      <c r="L625">
        <v>10</v>
      </c>
      <c r="M625" s="1" t="s">
        <v>37</v>
      </c>
      <c r="N625" s="1" t="s">
        <v>84</v>
      </c>
      <c r="O625">
        <v>2014</v>
      </c>
      <c r="P625">
        <v>16716</v>
      </c>
      <c r="Q625">
        <v>14375.76</v>
      </c>
      <c r="R625">
        <v>10196.76</v>
      </c>
      <c r="S625" s="22">
        <v>0.70930232558139539</v>
      </c>
      <c r="T625" t="str" cm="1">
        <f t="array" ref="T625">_xlfn.SWITCH(TRUE,data[[#This Row],[Profit Margin]]&lt;0,"Negative",data[[#This Row],[Profit Margin]]&lt;0.1,"Low",data[[#This Row],[Profit Margin]]&lt;0.2,"Medium","High")</f>
        <v>High</v>
      </c>
    </row>
    <row r="626" spans="1:20" x14ac:dyDescent="0.35">
      <c r="A626">
        <v>625</v>
      </c>
      <c r="B626" s="1" t="s">
        <v>31</v>
      </c>
      <c r="C626" s="1" t="s">
        <v>38</v>
      </c>
      <c r="D626" s="1" t="s">
        <v>45</v>
      </c>
      <c r="E626" s="1" t="s">
        <v>49</v>
      </c>
      <c r="F626">
        <v>2015</v>
      </c>
      <c r="G626">
        <v>260</v>
      </c>
      <c r="H626">
        <v>12</v>
      </c>
      <c r="I626">
        <v>3385.2</v>
      </c>
      <c r="J626">
        <v>6045</v>
      </c>
      <c r="K626" s="2">
        <v>41609</v>
      </c>
      <c r="L626">
        <v>12</v>
      </c>
      <c r="M626" s="1" t="s">
        <v>28</v>
      </c>
      <c r="N626" s="1" t="s">
        <v>79</v>
      </c>
      <c r="O626">
        <v>2013</v>
      </c>
      <c r="P626">
        <v>24180</v>
      </c>
      <c r="Q626">
        <v>20794.8</v>
      </c>
      <c r="R626">
        <v>14749.8</v>
      </c>
      <c r="S626" s="22">
        <v>0.70930232558139539</v>
      </c>
      <c r="T626" t="str" cm="1">
        <f t="array" ref="T626">_xlfn.SWITCH(TRUE,data[[#This Row],[Profit Margin]]&lt;0,"Negative",data[[#This Row],[Profit Margin]]&lt;0.1,"Low",data[[#This Row],[Profit Margin]]&lt;0.2,"Medium","High")</f>
        <v>High</v>
      </c>
    </row>
    <row r="627" spans="1:20" x14ac:dyDescent="0.35">
      <c r="A627">
        <v>626</v>
      </c>
      <c r="B627" s="1" t="s">
        <v>34</v>
      </c>
      <c r="C627" s="1" t="s">
        <v>27</v>
      </c>
      <c r="D627" s="1" t="s">
        <v>20</v>
      </c>
      <c r="E627" s="1" t="s">
        <v>49</v>
      </c>
      <c r="F627">
        <v>801</v>
      </c>
      <c r="G627">
        <v>3</v>
      </c>
      <c r="H627">
        <v>300</v>
      </c>
      <c r="I627">
        <v>33642</v>
      </c>
      <c r="J627">
        <v>200250</v>
      </c>
      <c r="K627" s="2">
        <v>41821</v>
      </c>
      <c r="L627">
        <v>7</v>
      </c>
      <c r="M627" s="1" t="s">
        <v>33</v>
      </c>
      <c r="N627" s="1" t="s">
        <v>81</v>
      </c>
      <c r="O627">
        <v>2014</v>
      </c>
      <c r="P627">
        <v>240300</v>
      </c>
      <c r="Q627">
        <v>206658</v>
      </c>
      <c r="R627">
        <v>6408</v>
      </c>
      <c r="S627" s="22">
        <v>3.1007751937984496E-2</v>
      </c>
      <c r="T627" t="str" cm="1">
        <f t="array" ref="T627">_xlfn.SWITCH(TRUE,data[[#This Row],[Profit Margin]]&lt;0,"Negative",data[[#This Row],[Profit Margin]]&lt;0.1,"Low",data[[#This Row],[Profit Margin]]&lt;0.2,"Medium","High")</f>
        <v>Low</v>
      </c>
    </row>
    <row r="628" spans="1:20" x14ac:dyDescent="0.35">
      <c r="A628">
        <v>627</v>
      </c>
      <c r="B628" s="1" t="s">
        <v>32</v>
      </c>
      <c r="C628" s="1" t="s">
        <v>25</v>
      </c>
      <c r="D628" s="1" t="s">
        <v>20</v>
      </c>
      <c r="E628" s="1" t="s">
        <v>49</v>
      </c>
      <c r="F628">
        <v>1023</v>
      </c>
      <c r="G628">
        <v>3</v>
      </c>
      <c r="H628">
        <v>125</v>
      </c>
      <c r="I628">
        <v>17902.5</v>
      </c>
      <c r="J628">
        <v>122760</v>
      </c>
      <c r="K628" s="2">
        <v>41518</v>
      </c>
      <c r="L628">
        <v>9</v>
      </c>
      <c r="M628" s="1" t="s">
        <v>36</v>
      </c>
      <c r="N628" s="1" t="s">
        <v>83</v>
      </c>
      <c r="O628">
        <v>2013</v>
      </c>
      <c r="P628">
        <v>127875</v>
      </c>
      <c r="Q628">
        <v>109972.5</v>
      </c>
      <c r="R628">
        <v>-12787.5</v>
      </c>
      <c r="S628" s="22">
        <v>-0.11627906976744186</v>
      </c>
      <c r="T628" t="str" cm="1">
        <f t="array" ref="T628">_xlfn.SWITCH(TRUE,data[[#This Row],[Profit Margin]]&lt;0,"Negative",data[[#This Row],[Profit Margin]]&lt;0.1,"Low",data[[#This Row],[Profit Margin]]&lt;0.2,"Medium","High")</f>
        <v>Negative</v>
      </c>
    </row>
    <row r="629" spans="1:20" x14ac:dyDescent="0.35">
      <c r="A629">
        <v>628</v>
      </c>
      <c r="B629" s="1" t="s">
        <v>34</v>
      </c>
      <c r="C629" s="1" t="s">
        <v>19</v>
      </c>
      <c r="D629" s="1" t="s">
        <v>20</v>
      </c>
      <c r="E629" s="1" t="s">
        <v>49</v>
      </c>
      <c r="F629">
        <v>1496</v>
      </c>
      <c r="G629">
        <v>3</v>
      </c>
      <c r="H629">
        <v>300</v>
      </c>
      <c r="I629">
        <v>62832</v>
      </c>
      <c r="J629">
        <v>374000</v>
      </c>
      <c r="K629" s="2">
        <v>41913</v>
      </c>
      <c r="L629">
        <v>10</v>
      </c>
      <c r="M629" s="1" t="s">
        <v>37</v>
      </c>
      <c r="N629" s="1" t="s">
        <v>84</v>
      </c>
      <c r="O629">
        <v>2014</v>
      </c>
      <c r="P629">
        <v>448800</v>
      </c>
      <c r="Q629">
        <v>385968</v>
      </c>
      <c r="R629">
        <v>11968</v>
      </c>
      <c r="S629" s="22">
        <v>3.1007751937984496E-2</v>
      </c>
      <c r="T629" t="str" cm="1">
        <f t="array" ref="T629">_xlfn.SWITCH(TRUE,data[[#This Row],[Profit Margin]]&lt;0,"Negative",data[[#This Row],[Profit Margin]]&lt;0.1,"Low",data[[#This Row],[Profit Margin]]&lt;0.2,"Medium","High")</f>
        <v>Low</v>
      </c>
    </row>
    <row r="630" spans="1:20" x14ac:dyDescent="0.35">
      <c r="A630">
        <v>629</v>
      </c>
      <c r="B630" s="1" t="s">
        <v>34</v>
      </c>
      <c r="C630" s="1" t="s">
        <v>38</v>
      </c>
      <c r="D630" s="1" t="s">
        <v>20</v>
      </c>
      <c r="E630" s="1" t="s">
        <v>49</v>
      </c>
      <c r="F630">
        <v>1010</v>
      </c>
      <c r="G630">
        <v>3</v>
      </c>
      <c r="H630">
        <v>300</v>
      </c>
      <c r="I630">
        <v>42420</v>
      </c>
      <c r="J630">
        <v>252500</v>
      </c>
      <c r="K630" s="2">
        <v>41913</v>
      </c>
      <c r="L630">
        <v>10</v>
      </c>
      <c r="M630" s="1" t="s">
        <v>37</v>
      </c>
      <c r="N630" s="1" t="s">
        <v>84</v>
      </c>
      <c r="O630">
        <v>2014</v>
      </c>
      <c r="P630">
        <v>303000</v>
      </c>
      <c r="Q630">
        <v>260580</v>
      </c>
      <c r="R630">
        <v>8080</v>
      </c>
      <c r="S630" s="22">
        <v>3.1007751937984496E-2</v>
      </c>
      <c r="T630" t="str" cm="1">
        <f t="array" ref="T630">_xlfn.SWITCH(TRUE,data[[#This Row],[Profit Margin]]&lt;0,"Negative",data[[#This Row],[Profit Margin]]&lt;0.1,"Low",data[[#This Row],[Profit Margin]]&lt;0.2,"Medium","High")</f>
        <v>Low</v>
      </c>
    </row>
    <row r="631" spans="1:20" x14ac:dyDescent="0.35">
      <c r="A631">
        <v>630</v>
      </c>
      <c r="B631" s="1" t="s">
        <v>24</v>
      </c>
      <c r="C631" s="1" t="s">
        <v>23</v>
      </c>
      <c r="D631" s="1" t="s">
        <v>20</v>
      </c>
      <c r="E631" s="1" t="s">
        <v>49</v>
      </c>
      <c r="F631">
        <v>1513</v>
      </c>
      <c r="G631">
        <v>3</v>
      </c>
      <c r="H631">
        <v>15</v>
      </c>
      <c r="I631">
        <v>3177.3</v>
      </c>
      <c r="J631">
        <v>15130</v>
      </c>
      <c r="K631" s="2">
        <v>41944</v>
      </c>
      <c r="L631">
        <v>11</v>
      </c>
      <c r="M631" s="1" t="s">
        <v>41</v>
      </c>
      <c r="N631" s="1" t="s">
        <v>86</v>
      </c>
      <c r="O631">
        <v>2014</v>
      </c>
      <c r="P631">
        <v>22695</v>
      </c>
      <c r="Q631">
        <v>19517.7</v>
      </c>
      <c r="R631">
        <v>4387.7000000000007</v>
      </c>
      <c r="S631" s="22">
        <v>0.22480620155038764</v>
      </c>
      <c r="T631" t="str" cm="1">
        <f t="array" ref="T631">_xlfn.SWITCH(TRUE,data[[#This Row],[Profit Margin]]&lt;0,"Negative",data[[#This Row],[Profit Margin]]&lt;0.1,"Low",data[[#This Row],[Profit Margin]]&lt;0.2,"Medium","High")</f>
        <v>High</v>
      </c>
    </row>
    <row r="632" spans="1:20" x14ac:dyDescent="0.35">
      <c r="A632">
        <v>631</v>
      </c>
      <c r="B632" s="1" t="s">
        <v>24</v>
      </c>
      <c r="C632" s="1" t="s">
        <v>19</v>
      </c>
      <c r="D632" s="1" t="s">
        <v>20</v>
      </c>
      <c r="E632" s="1" t="s">
        <v>49</v>
      </c>
      <c r="F632">
        <v>2300</v>
      </c>
      <c r="G632">
        <v>3</v>
      </c>
      <c r="H632">
        <v>15</v>
      </c>
      <c r="I632">
        <v>4830</v>
      </c>
      <c r="J632">
        <v>23000</v>
      </c>
      <c r="K632" s="2">
        <v>41974</v>
      </c>
      <c r="L632">
        <v>12</v>
      </c>
      <c r="M632" s="1" t="s">
        <v>28</v>
      </c>
      <c r="N632" s="1" t="s">
        <v>79</v>
      </c>
      <c r="O632">
        <v>2014</v>
      </c>
      <c r="P632">
        <v>34500</v>
      </c>
      <c r="Q632">
        <v>29670</v>
      </c>
      <c r="R632">
        <v>6670</v>
      </c>
      <c r="S632" s="22">
        <v>0.22480620155038761</v>
      </c>
      <c r="T632" t="str" cm="1">
        <f t="array" ref="T632">_xlfn.SWITCH(TRUE,data[[#This Row],[Profit Margin]]&lt;0,"Negative",data[[#This Row],[Profit Margin]]&lt;0.1,"Low",data[[#This Row],[Profit Margin]]&lt;0.2,"Medium","High")</f>
        <v>High</v>
      </c>
    </row>
    <row r="633" spans="1:20" x14ac:dyDescent="0.35">
      <c r="A633">
        <v>632</v>
      </c>
      <c r="B633" s="1" t="s">
        <v>32</v>
      </c>
      <c r="C633" s="1" t="s">
        <v>27</v>
      </c>
      <c r="D633" s="1" t="s">
        <v>20</v>
      </c>
      <c r="E633" s="1" t="s">
        <v>49</v>
      </c>
      <c r="F633">
        <v>2821</v>
      </c>
      <c r="G633">
        <v>3</v>
      </c>
      <c r="H633">
        <v>125</v>
      </c>
      <c r="I633">
        <v>49367.5</v>
      </c>
      <c r="J633">
        <v>338520</v>
      </c>
      <c r="K633" s="2">
        <v>41609</v>
      </c>
      <c r="L633">
        <v>12</v>
      </c>
      <c r="M633" s="1" t="s">
        <v>28</v>
      </c>
      <c r="N633" s="1" t="s">
        <v>79</v>
      </c>
      <c r="O633">
        <v>2013</v>
      </c>
      <c r="P633">
        <v>352625</v>
      </c>
      <c r="Q633">
        <v>303257.5</v>
      </c>
      <c r="R633">
        <v>-35262.5</v>
      </c>
      <c r="S633" s="22">
        <v>-0.11627906976744186</v>
      </c>
      <c r="T633" t="str" cm="1">
        <f t="array" ref="T633">_xlfn.SWITCH(TRUE,data[[#This Row],[Profit Margin]]&lt;0,"Negative",data[[#This Row],[Profit Margin]]&lt;0.1,"Low",data[[#This Row],[Profit Margin]]&lt;0.2,"Medium","High")</f>
        <v>Negative</v>
      </c>
    </row>
    <row r="634" spans="1:20" x14ac:dyDescent="0.35">
      <c r="A634">
        <v>633</v>
      </c>
      <c r="B634" s="1" t="s">
        <v>18</v>
      </c>
      <c r="C634" s="1" t="s">
        <v>19</v>
      </c>
      <c r="D634" s="1" t="s">
        <v>29</v>
      </c>
      <c r="E634" s="1" t="s">
        <v>49</v>
      </c>
      <c r="F634">
        <v>2227.5</v>
      </c>
      <c r="G634">
        <v>5</v>
      </c>
      <c r="H634">
        <v>350</v>
      </c>
      <c r="I634">
        <v>109147.5</v>
      </c>
      <c r="J634">
        <v>579150</v>
      </c>
      <c r="K634" s="2">
        <v>41640</v>
      </c>
      <c r="L634">
        <v>1</v>
      </c>
      <c r="M634" s="1" t="s">
        <v>22</v>
      </c>
      <c r="N634" s="1" t="s">
        <v>77</v>
      </c>
      <c r="O634">
        <v>2014</v>
      </c>
      <c r="P634">
        <v>779625</v>
      </c>
      <c r="Q634">
        <v>670477.5</v>
      </c>
      <c r="R634">
        <v>91327.5</v>
      </c>
      <c r="S634" s="22">
        <v>0.13621262458471761</v>
      </c>
      <c r="T634" t="str" cm="1">
        <f t="array" ref="T634">_xlfn.SWITCH(TRUE,data[[#This Row],[Profit Margin]]&lt;0,"Negative",data[[#This Row],[Profit Margin]]&lt;0.1,"Low",data[[#This Row],[Profit Margin]]&lt;0.2,"Medium","High")</f>
        <v>Medium</v>
      </c>
    </row>
    <row r="635" spans="1:20" x14ac:dyDescent="0.35">
      <c r="A635">
        <v>634</v>
      </c>
      <c r="B635" s="1" t="s">
        <v>18</v>
      </c>
      <c r="C635" s="1" t="s">
        <v>23</v>
      </c>
      <c r="D635" s="1" t="s">
        <v>29</v>
      </c>
      <c r="E635" s="1" t="s">
        <v>49</v>
      </c>
      <c r="F635">
        <v>1199</v>
      </c>
      <c r="G635">
        <v>5</v>
      </c>
      <c r="H635">
        <v>350</v>
      </c>
      <c r="I635">
        <v>58751</v>
      </c>
      <c r="J635">
        <v>311740</v>
      </c>
      <c r="K635" s="2">
        <v>41730</v>
      </c>
      <c r="L635">
        <v>4</v>
      </c>
      <c r="M635" s="1" t="s">
        <v>44</v>
      </c>
      <c r="N635" s="1" t="s">
        <v>87</v>
      </c>
      <c r="O635">
        <v>2014</v>
      </c>
      <c r="P635">
        <v>419650</v>
      </c>
      <c r="Q635">
        <v>360899</v>
      </c>
      <c r="R635">
        <v>49159</v>
      </c>
      <c r="S635" s="22">
        <v>0.13621262458471761</v>
      </c>
      <c r="T635" t="str" cm="1">
        <f t="array" ref="T635">_xlfn.SWITCH(TRUE,data[[#This Row],[Profit Margin]]&lt;0,"Negative",data[[#This Row],[Profit Margin]]&lt;0.1,"Low",data[[#This Row],[Profit Margin]]&lt;0.2,"Medium","High")</f>
        <v>Medium</v>
      </c>
    </row>
    <row r="636" spans="1:20" x14ac:dyDescent="0.35">
      <c r="A636">
        <v>635</v>
      </c>
      <c r="B636" s="1" t="s">
        <v>18</v>
      </c>
      <c r="C636" s="1" t="s">
        <v>19</v>
      </c>
      <c r="D636" s="1" t="s">
        <v>29</v>
      </c>
      <c r="E636" s="1" t="s">
        <v>49</v>
      </c>
      <c r="F636">
        <v>200</v>
      </c>
      <c r="G636">
        <v>5</v>
      </c>
      <c r="H636">
        <v>350</v>
      </c>
      <c r="I636">
        <v>9800</v>
      </c>
      <c r="J636">
        <v>52000</v>
      </c>
      <c r="K636" s="2">
        <v>41760</v>
      </c>
      <c r="L636">
        <v>5</v>
      </c>
      <c r="M636" s="1" t="s">
        <v>47</v>
      </c>
      <c r="N636" s="1" t="s">
        <v>47</v>
      </c>
      <c r="O636">
        <v>2014</v>
      </c>
      <c r="P636">
        <v>70000</v>
      </c>
      <c r="Q636">
        <v>60200</v>
      </c>
      <c r="R636">
        <v>8200</v>
      </c>
      <c r="S636" s="22">
        <v>0.13621262458471761</v>
      </c>
      <c r="T636" t="str" cm="1">
        <f t="array" ref="T636">_xlfn.SWITCH(TRUE,data[[#This Row],[Profit Margin]]&lt;0,"Negative",data[[#This Row],[Profit Margin]]&lt;0.1,"Low",data[[#This Row],[Profit Margin]]&lt;0.2,"Medium","High")</f>
        <v>Medium</v>
      </c>
    </row>
    <row r="637" spans="1:20" x14ac:dyDescent="0.35">
      <c r="A637">
        <v>636</v>
      </c>
      <c r="B637" s="1" t="s">
        <v>18</v>
      </c>
      <c r="C637" s="1" t="s">
        <v>19</v>
      </c>
      <c r="D637" s="1" t="s">
        <v>29</v>
      </c>
      <c r="E637" s="1" t="s">
        <v>49</v>
      </c>
      <c r="F637">
        <v>388</v>
      </c>
      <c r="G637">
        <v>5</v>
      </c>
      <c r="H637">
        <v>7</v>
      </c>
      <c r="I637">
        <v>380.24</v>
      </c>
      <c r="J637">
        <v>1940</v>
      </c>
      <c r="K637" s="2">
        <v>41883</v>
      </c>
      <c r="L637">
        <v>9</v>
      </c>
      <c r="M637" s="1" t="s">
        <v>36</v>
      </c>
      <c r="N637" s="1" t="s">
        <v>83</v>
      </c>
      <c r="O637">
        <v>2014</v>
      </c>
      <c r="P637">
        <v>2716</v>
      </c>
      <c r="Q637">
        <v>2335.7600000000002</v>
      </c>
      <c r="R637">
        <v>395.76000000000022</v>
      </c>
      <c r="S637" s="22">
        <v>0.16943521594684394</v>
      </c>
      <c r="T637" t="str" cm="1">
        <f t="array" ref="T637">_xlfn.SWITCH(TRUE,data[[#This Row],[Profit Margin]]&lt;0,"Negative",data[[#This Row],[Profit Margin]]&lt;0.1,"Low",data[[#This Row],[Profit Margin]]&lt;0.2,"Medium","High")</f>
        <v>Medium</v>
      </c>
    </row>
    <row r="638" spans="1:20" x14ac:dyDescent="0.35">
      <c r="A638">
        <v>637</v>
      </c>
      <c r="B638" s="1" t="s">
        <v>18</v>
      </c>
      <c r="C638" s="1" t="s">
        <v>27</v>
      </c>
      <c r="D638" s="1" t="s">
        <v>29</v>
      </c>
      <c r="E638" s="1" t="s">
        <v>49</v>
      </c>
      <c r="F638">
        <v>1727</v>
      </c>
      <c r="G638">
        <v>5</v>
      </c>
      <c r="H638">
        <v>7</v>
      </c>
      <c r="I638">
        <v>1692.46</v>
      </c>
      <c r="J638">
        <v>8635</v>
      </c>
      <c r="K638" s="2">
        <v>41548</v>
      </c>
      <c r="L638">
        <v>10</v>
      </c>
      <c r="M638" s="1" t="s">
        <v>37</v>
      </c>
      <c r="N638" s="1" t="s">
        <v>84</v>
      </c>
      <c r="O638">
        <v>2013</v>
      </c>
      <c r="P638">
        <v>12089</v>
      </c>
      <c r="Q638">
        <v>10396.540000000001</v>
      </c>
      <c r="R638">
        <v>1761.5400000000009</v>
      </c>
      <c r="S638" s="22">
        <v>0.16943521594684394</v>
      </c>
      <c r="T638" t="str" cm="1">
        <f t="array" ref="T638">_xlfn.SWITCH(TRUE,data[[#This Row],[Profit Margin]]&lt;0,"Negative",data[[#This Row],[Profit Margin]]&lt;0.1,"Low",data[[#This Row],[Profit Margin]]&lt;0.2,"Medium","High")</f>
        <v>Medium</v>
      </c>
    </row>
    <row r="639" spans="1:20" x14ac:dyDescent="0.35">
      <c r="A639">
        <v>638</v>
      </c>
      <c r="B639" s="1" t="s">
        <v>24</v>
      </c>
      <c r="C639" s="1" t="s">
        <v>19</v>
      </c>
      <c r="D639" s="1" t="s">
        <v>29</v>
      </c>
      <c r="E639" s="1" t="s">
        <v>49</v>
      </c>
      <c r="F639">
        <v>2300</v>
      </c>
      <c r="G639">
        <v>5</v>
      </c>
      <c r="H639">
        <v>15</v>
      </c>
      <c r="I639">
        <v>4830</v>
      </c>
      <c r="J639">
        <v>23000</v>
      </c>
      <c r="K639" s="2">
        <v>41974</v>
      </c>
      <c r="L639">
        <v>12</v>
      </c>
      <c r="M639" s="1" t="s">
        <v>28</v>
      </c>
      <c r="N639" s="1" t="s">
        <v>79</v>
      </c>
      <c r="O639">
        <v>2014</v>
      </c>
      <c r="P639">
        <v>34500</v>
      </c>
      <c r="Q639">
        <v>29670</v>
      </c>
      <c r="R639">
        <v>6670</v>
      </c>
      <c r="S639" s="22">
        <v>0.22480620155038761</v>
      </c>
      <c r="T639" t="str" cm="1">
        <f t="array" ref="T639">_xlfn.SWITCH(TRUE,data[[#This Row],[Profit Margin]]&lt;0,"Negative",data[[#This Row],[Profit Margin]]&lt;0.1,"Low",data[[#This Row],[Profit Margin]]&lt;0.2,"Medium","High")</f>
        <v>High</v>
      </c>
    </row>
    <row r="640" spans="1:20" x14ac:dyDescent="0.35">
      <c r="A640">
        <v>639</v>
      </c>
      <c r="B640" s="1" t="s">
        <v>18</v>
      </c>
      <c r="C640" s="1" t="s">
        <v>27</v>
      </c>
      <c r="D640" s="1" t="s">
        <v>39</v>
      </c>
      <c r="E640" s="1" t="s">
        <v>49</v>
      </c>
      <c r="F640">
        <v>260</v>
      </c>
      <c r="G640">
        <v>10</v>
      </c>
      <c r="H640">
        <v>20</v>
      </c>
      <c r="I640">
        <v>728</v>
      </c>
      <c r="J640">
        <v>2600</v>
      </c>
      <c r="K640" s="2">
        <v>41671</v>
      </c>
      <c r="L640">
        <v>2</v>
      </c>
      <c r="M640" s="1" t="s">
        <v>40</v>
      </c>
      <c r="N640" s="1" t="s">
        <v>85</v>
      </c>
      <c r="O640">
        <v>2014</v>
      </c>
      <c r="P640">
        <v>5200</v>
      </c>
      <c r="Q640">
        <v>4472</v>
      </c>
      <c r="R640">
        <v>1872</v>
      </c>
      <c r="S640" s="22">
        <v>0.41860465116279072</v>
      </c>
      <c r="T640" t="str" cm="1">
        <f t="array" ref="T640">_xlfn.SWITCH(TRUE,data[[#This Row],[Profit Margin]]&lt;0,"Negative",data[[#This Row],[Profit Margin]]&lt;0.1,"Low",data[[#This Row],[Profit Margin]]&lt;0.2,"Medium","High")</f>
        <v>High</v>
      </c>
    </row>
    <row r="641" spans="1:20" x14ac:dyDescent="0.35">
      <c r="A641">
        <v>640</v>
      </c>
      <c r="B641" s="1" t="s">
        <v>24</v>
      </c>
      <c r="C641" s="1" t="s">
        <v>19</v>
      </c>
      <c r="D641" s="1" t="s">
        <v>39</v>
      </c>
      <c r="E641" s="1" t="s">
        <v>49</v>
      </c>
      <c r="F641">
        <v>2470</v>
      </c>
      <c r="G641">
        <v>10</v>
      </c>
      <c r="H641">
        <v>15</v>
      </c>
      <c r="I641">
        <v>5187</v>
      </c>
      <c r="J641">
        <v>24700</v>
      </c>
      <c r="K641" s="2">
        <v>41518</v>
      </c>
      <c r="L641">
        <v>9</v>
      </c>
      <c r="M641" s="1" t="s">
        <v>36</v>
      </c>
      <c r="N641" s="1" t="s">
        <v>83</v>
      </c>
      <c r="O641">
        <v>2013</v>
      </c>
      <c r="P641">
        <v>37050</v>
      </c>
      <c r="Q641">
        <v>31863</v>
      </c>
      <c r="R641">
        <v>7163</v>
      </c>
      <c r="S641" s="22">
        <v>0.22480620155038761</v>
      </c>
      <c r="T641" t="str" cm="1">
        <f t="array" ref="T641">_xlfn.SWITCH(TRUE,data[[#This Row],[Profit Margin]]&lt;0,"Negative",data[[#This Row],[Profit Margin]]&lt;0.1,"Low",data[[#This Row],[Profit Margin]]&lt;0.2,"Medium","High")</f>
        <v>High</v>
      </c>
    </row>
    <row r="642" spans="1:20" x14ac:dyDescent="0.35">
      <c r="A642">
        <v>641</v>
      </c>
      <c r="B642" s="1" t="s">
        <v>24</v>
      </c>
      <c r="C642" s="1" t="s">
        <v>19</v>
      </c>
      <c r="D642" s="1" t="s">
        <v>39</v>
      </c>
      <c r="E642" s="1" t="s">
        <v>49</v>
      </c>
      <c r="F642">
        <v>1743</v>
      </c>
      <c r="G642">
        <v>10</v>
      </c>
      <c r="H642">
        <v>15</v>
      </c>
      <c r="I642">
        <v>3660.3</v>
      </c>
      <c r="J642">
        <v>17430</v>
      </c>
      <c r="K642" s="2">
        <v>41548</v>
      </c>
      <c r="L642">
        <v>10</v>
      </c>
      <c r="M642" s="1" t="s">
        <v>37</v>
      </c>
      <c r="N642" s="1" t="s">
        <v>84</v>
      </c>
      <c r="O642">
        <v>2013</v>
      </c>
      <c r="P642">
        <v>26145</v>
      </c>
      <c r="Q642">
        <v>22484.7</v>
      </c>
      <c r="R642">
        <v>5054.7000000000007</v>
      </c>
      <c r="S642" s="22">
        <v>0.22480620155038764</v>
      </c>
      <c r="T642" t="str" cm="1">
        <f t="array" ref="T642">_xlfn.SWITCH(TRUE,data[[#This Row],[Profit Margin]]&lt;0,"Negative",data[[#This Row],[Profit Margin]]&lt;0.1,"Low",data[[#This Row],[Profit Margin]]&lt;0.2,"Medium","High")</f>
        <v>High</v>
      </c>
    </row>
    <row r="643" spans="1:20" x14ac:dyDescent="0.35">
      <c r="A643">
        <v>642</v>
      </c>
      <c r="B643" s="1" t="s">
        <v>31</v>
      </c>
      <c r="C643" s="1" t="s">
        <v>38</v>
      </c>
      <c r="D643" s="1" t="s">
        <v>39</v>
      </c>
      <c r="E643" s="1" t="s">
        <v>49</v>
      </c>
      <c r="F643">
        <v>2914</v>
      </c>
      <c r="G643">
        <v>10</v>
      </c>
      <c r="H643">
        <v>12</v>
      </c>
      <c r="I643">
        <v>4895.5200000000004</v>
      </c>
      <c r="J643">
        <v>8742</v>
      </c>
      <c r="K643" s="2">
        <v>41913</v>
      </c>
      <c r="L643">
        <v>10</v>
      </c>
      <c r="M643" s="1" t="s">
        <v>37</v>
      </c>
      <c r="N643" s="1" t="s">
        <v>84</v>
      </c>
      <c r="O643">
        <v>2014</v>
      </c>
      <c r="P643">
        <v>34968</v>
      </c>
      <c r="Q643">
        <v>30072.48</v>
      </c>
      <c r="R643">
        <v>21330.48</v>
      </c>
      <c r="S643" s="22">
        <v>0.70930232558139539</v>
      </c>
      <c r="T643" t="str" cm="1">
        <f t="array" ref="T643">_xlfn.SWITCH(TRUE,data[[#This Row],[Profit Margin]]&lt;0,"Negative",data[[#This Row],[Profit Margin]]&lt;0.1,"Low",data[[#This Row],[Profit Margin]]&lt;0.2,"Medium","High")</f>
        <v>High</v>
      </c>
    </row>
    <row r="644" spans="1:20" x14ac:dyDescent="0.35">
      <c r="A644">
        <v>643</v>
      </c>
      <c r="B644" s="1" t="s">
        <v>18</v>
      </c>
      <c r="C644" s="1" t="s">
        <v>25</v>
      </c>
      <c r="D644" s="1" t="s">
        <v>39</v>
      </c>
      <c r="E644" s="1" t="s">
        <v>49</v>
      </c>
      <c r="F644">
        <v>1731</v>
      </c>
      <c r="G644">
        <v>10</v>
      </c>
      <c r="H644">
        <v>7</v>
      </c>
      <c r="I644">
        <v>1696.38</v>
      </c>
      <c r="J644">
        <v>8655</v>
      </c>
      <c r="K644" s="2">
        <v>41913</v>
      </c>
      <c r="L644">
        <v>10</v>
      </c>
      <c r="M644" s="1" t="s">
        <v>37</v>
      </c>
      <c r="N644" s="1" t="s">
        <v>84</v>
      </c>
      <c r="O644">
        <v>2014</v>
      </c>
      <c r="P644">
        <v>12117</v>
      </c>
      <c r="Q644">
        <v>10420.619999999999</v>
      </c>
      <c r="R644">
        <v>1765.619999999999</v>
      </c>
      <c r="S644" s="22">
        <v>0.16943521594684377</v>
      </c>
      <c r="T644" t="str" cm="1">
        <f t="array" ref="T644">_xlfn.SWITCH(TRUE,data[[#This Row],[Profit Margin]]&lt;0,"Negative",data[[#This Row],[Profit Margin]]&lt;0.1,"Low",data[[#This Row],[Profit Margin]]&lt;0.2,"Medium","High")</f>
        <v>Medium</v>
      </c>
    </row>
    <row r="645" spans="1:20" x14ac:dyDescent="0.35">
      <c r="A645">
        <v>644</v>
      </c>
      <c r="B645" s="1" t="s">
        <v>18</v>
      </c>
      <c r="C645" s="1" t="s">
        <v>19</v>
      </c>
      <c r="D645" s="1" t="s">
        <v>39</v>
      </c>
      <c r="E645" s="1" t="s">
        <v>49</v>
      </c>
      <c r="F645">
        <v>700</v>
      </c>
      <c r="G645">
        <v>10</v>
      </c>
      <c r="H645">
        <v>350</v>
      </c>
      <c r="I645">
        <v>34300</v>
      </c>
      <c r="J645">
        <v>182000</v>
      </c>
      <c r="K645" s="2">
        <v>41944</v>
      </c>
      <c r="L645">
        <v>11</v>
      </c>
      <c r="M645" s="1" t="s">
        <v>41</v>
      </c>
      <c r="N645" s="1" t="s">
        <v>86</v>
      </c>
      <c r="O645">
        <v>2014</v>
      </c>
      <c r="P645">
        <v>245000</v>
      </c>
      <c r="Q645">
        <v>210700</v>
      </c>
      <c r="R645">
        <v>28700</v>
      </c>
      <c r="S645" s="22">
        <v>0.13621262458471761</v>
      </c>
      <c r="T645" t="str" cm="1">
        <f t="array" ref="T645">_xlfn.SWITCH(TRUE,data[[#This Row],[Profit Margin]]&lt;0,"Negative",data[[#This Row],[Profit Margin]]&lt;0.1,"Low",data[[#This Row],[Profit Margin]]&lt;0.2,"Medium","High")</f>
        <v>Medium</v>
      </c>
    </row>
    <row r="646" spans="1:20" x14ac:dyDescent="0.35">
      <c r="A646">
        <v>645</v>
      </c>
      <c r="B646" s="1" t="s">
        <v>31</v>
      </c>
      <c r="C646" s="1" t="s">
        <v>19</v>
      </c>
      <c r="D646" s="1" t="s">
        <v>39</v>
      </c>
      <c r="E646" s="1" t="s">
        <v>49</v>
      </c>
      <c r="F646">
        <v>2222</v>
      </c>
      <c r="G646">
        <v>10</v>
      </c>
      <c r="H646">
        <v>12</v>
      </c>
      <c r="I646">
        <v>3732.96</v>
      </c>
      <c r="J646">
        <v>6666</v>
      </c>
      <c r="K646" s="2">
        <v>41579</v>
      </c>
      <c r="L646">
        <v>11</v>
      </c>
      <c r="M646" s="1" t="s">
        <v>41</v>
      </c>
      <c r="N646" s="1" t="s">
        <v>86</v>
      </c>
      <c r="O646">
        <v>2013</v>
      </c>
      <c r="P646">
        <v>26664</v>
      </c>
      <c r="Q646">
        <v>22931.040000000001</v>
      </c>
      <c r="R646">
        <v>16265.04</v>
      </c>
      <c r="S646" s="22">
        <v>0.70930232558139539</v>
      </c>
      <c r="T646" t="str" cm="1">
        <f t="array" ref="T646">_xlfn.SWITCH(TRUE,data[[#This Row],[Profit Margin]]&lt;0,"Negative",data[[#This Row],[Profit Margin]]&lt;0.1,"Low",data[[#This Row],[Profit Margin]]&lt;0.2,"Medium","High")</f>
        <v>High</v>
      </c>
    </row>
    <row r="647" spans="1:20" x14ac:dyDescent="0.35">
      <c r="A647">
        <v>646</v>
      </c>
      <c r="B647" s="1" t="s">
        <v>18</v>
      </c>
      <c r="C647" s="1" t="s">
        <v>38</v>
      </c>
      <c r="D647" s="1" t="s">
        <v>39</v>
      </c>
      <c r="E647" s="1" t="s">
        <v>49</v>
      </c>
      <c r="F647">
        <v>1177</v>
      </c>
      <c r="G647">
        <v>10</v>
      </c>
      <c r="H647">
        <v>350</v>
      </c>
      <c r="I647">
        <v>57673</v>
      </c>
      <c r="J647">
        <v>306020</v>
      </c>
      <c r="K647" s="2">
        <v>41944</v>
      </c>
      <c r="L647">
        <v>11</v>
      </c>
      <c r="M647" s="1" t="s">
        <v>41</v>
      </c>
      <c r="N647" s="1" t="s">
        <v>86</v>
      </c>
      <c r="O647">
        <v>2014</v>
      </c>
      <c r="P647">
        <v>411950</v>
      </c>
      <c r="Q647">
        <v>354277</v>
      </c>
      <c r="R647">
        <v>48257</v>
      </c>
      <c r="S647" s="22">
        <v>0.13621262458471761</v>
      </c>
      <c r="T647" t="str" cm="1">
        <f t="array" ref="T647">_xlfn.SWITCH(TRUE,data[[#This Row],[Profit Margin]]&lt;0,"Negative",data[[#This Row],[Profit Margin]]&lt;0.1,"Low",data[[#This Row],[Profit Margin]]&lt;0.2,"Medium","High")</f>
        <v>Medium</v>
      </c>
    </row>
    <row r="648" spans="1:20" x14ac:dyDescent="0.35">
      <c r="A648">
        <v>647</v>
      </c>
      <c r="B648" s="1" t="s">
        <v>18</v>
      </c>
      <c r="C648" s="1" t="s">
        <v>25</v>
      </c>
      <c r="D648" s="1" t="s">
        <v>39</v>
      </c>
      <c r="E648" s="1" t="s">
        <v>49</v>
      </c>
      <c r="F648">
        <v>1922</v>
      </c>
      <c r="G648">
        <v>10</v>
      </c>
      <c r="H648">
        <v>350</v>
      </c>
      <c r="I648">
        <v>94178</v>
      </c>
      <c r="J648">
        <v>499720</v>
      </c>
      <c r="K648" s="2">
        <v>41579</v>
      </c>
      <c r="L648">
        <v>11</v>
      </c>
      <c r="M648" s="1" t="s">
        <v>41</v>
      </c>
      <c r="N648" s="1" t="s">
        <v>86</v>
      </c>
      <c r="O648">
        <v>2013</v>
      </c>
      <c r="P648">
        <v>672700</v>
      </c>
      <c r="Q648">
        <v>578522</v>
      </c>
      <c r="R648">
        <v>78802</v>
      </c>
      <c r="S648" s="22">
        <v>0.13621262458471761</v>
      </c>
      <c r="T648" t="str" cm="1">
        <f t="array" ref="T648">_xlfn.SWITCH(TRUE,data[[#This Row],[Profit Margin]]&lt;0,"Negative",data[[#This Row],[Profit Margin]]&lt;0.1,"Low",data[[#This Row],[Profit Margin]]&lt;0.2,"Medium","High")</f>
        <v>Medium</v>
      </c>
    </row>
    <row r="649" spans="1:20" x14ac:dyDescent="0.35">
      <c r="A649">
        <v>648</v>
      </c>
      <c r="B649" s="1" t="s">
        <v>32</v>
      </c>
      <c r="C649" s="1" t="s">
        <v>27</v>
      </c>
      <c r="D649" s="1" t="s">
        <v>42</v>
      </c>
      <c r="E649" s="1" t="s">
        <v>49</v>
      </c>
      <c r="F649">
        <v>1575</v>
      </c>
      <c r="G649">
        <v>120</v>
      </c>
      <c r="H649">
        <v>125</v>
      </c>
      <c r="I649">
        <v>27562.5</v>
      </c>
      <c r="J649">
        <v>189000</v>
      </c>
      <c r="K649" s="2">
        <v>41671</v>
      </c>
      <c r="L649">
        <v>2</v>
      </c>
      <c r="M649" s="1" t="s">
        <v>40</v>
      </c>
      <c r="N649" s="1" t="s">
        <v>85</v>
      </c>
      <c r="O649">
        <v>2014</v>
      </c>
      <c r="P649">
        <v>196875</v>
      </c>
      <c r="Q649">
        <v>169312.5</v>
      </c>
      <c r="R649">
        <v>-19687.5</v>
      </c>
      <c r="S649" s="22">
        <v>-0.11627906976744186</v>
      </c>
      <c r="T649" t="str" cm="1">
        <f t="array" ref="T649">_xlfn.SWITCH(TRUE,data[[#This Row],[Profit Margin]]&lt;0,"Negative",data[[#This Row],[Profit Margin]]&lt;0.1,"Low",data[[#This Row],[Profit Margin]]&lt;0.2,"Medium","High")</f>
        <v>Negative</v>
      </c>
    </row>
    <row r="650" spans="1:20" x14ac:dyDescent="0.35">
      <c r="A650">
        <v>649</v>
      </c>
      <c r="B650" s="1" t="s">
        <v>18</v>
      </c>
      <c r="C650" s="1" t="s">
        <v>38</v>
      </c>
      <c r="D650" s="1" t="s">
        <v>42</v>
      </c>
      <c r="E650" s="1" t="s">
        <v>49</v>
      </c>
      <c r="F650">
        <v>606</v>
      </c>
      <c r="G650">
        <v>120</v>
      </c>
      <c r="H650">
        <v>20</v>
      </c>
      <c r="I650">
        <v>1696.8000000000002</v>
      </c>
      <c r="J650">
        <v>6060</v>
      </c>
      <c r="K650" s="2">
        <v>41730</v>
      </c>
      <c r="L650">
        <v>4</v>
      </c>
      <c r="M650" s="1" t="s">
        <v>44</v>
      </c>
      <c r="N650" s="1" t="s">
        <v>87</v>
      </c>
      <c r="O650">
        <v>2014</v>
      </c>
      <c r="P650">
        <v>12120</v>
      </c>
      <c r="Q650">
        <v>10423.200000000001</v>
      </c>
      <c r="R650">
        <v>4363.2000000000007</v>
      </c>
      <c r="S650" s="22">
        <v>0.41860465116279072</v>
      </c>
      <c r="T650" t="str" cm="1">
        <f t="array" ref="T650">_xlfn.SWITCH(TRUE,data[[#This Row],[Profit Margin]]&lt;0,"Negative",data[[#This Row],[Profit Margin]]&lt;0.1,"Low",data[[#This Row],[Profit Margin]]&lt;0.2,"Medium","High")</f>
        <v>High</v>
      </c>
    </row>
    <row r="651" spans="1:20" x14ac:dyDescent="0.35">
      <c r="A651">
        <v>650</v>
      </c>
      <c r="B651" s="1" t="s">
        <v>34</v>
      </c>
      <c r="C651" s="1" t="s">
        <v>38</v>
      </c>
      <c r="D651" s="1" t="s">
        <v>42</v>
      </c>
      <c r="E651" s="1" t="s">
        <v>49</v>
      </c>
      <c r="F651">
        <v>2460</v>
      </c>
      <c r="G651">
        <v>120</v>
      </c>
      <c r="H651">
        <v>300</v>
      </c>
      <c r="I651">
        <v>103320</v>
      </c>
      <c r="J651">
        <v>615000</v>
      </c>
      <c r="K651" s="2">
        <v>41821</v>
      </c>
      <c r="L651">
        <v>7</v>
      </c>
      <c r="M651" s="1" t="s">
        <v>33</v>
      </c>
      <c r="N651" s="1" t="s">
        <v>81</v>
      </c>
      <c r="O651">
        <v>2014</v>
      </c>
      <c r="P651">
        <v>738000</v>
      </c>
      <c r="Q651">
        <v>634680</v>
      </c>
      <c r="R651">
        <v>19680</v>
      </c>
      <c r="S651" s="22">
        <v>3.1007751937984496E-2</v>
      </c>
      <c r="T651" t="str" cm="1">
        <f t="array" ref="T651">_xlfn.SWITCH(TRUE,data[[#This Row],[Profit Margin]]&lt;0,"Negative",data[[#This Row],[Profit Margin]]&lt;0.1,"Low",data[[#This Row],[Profit Margin]]&lt;0.2,"Medium","High")</f>
        <v>Low</v>
      </c>
    </row>
    <row r="652" spans="1:20" x14ac:dyDescent="0.35">
      <c r="A652">
        <v>651</v>
      </c>
      <c r="B652" s="1" t="s">
        <v>34</v>
      </c>
      <c r="C652" s="1" t="s">
        <v>19</v>
      </c>
      <c r="D652" s="1" t="s">
        <v>42</v>
      </c>
      <c r="E652" s="1" t="s">
        <v>49</v>
      </c>
      <c r="F652">
        <v>269</v>
      </c>
      <c r="G652">
        <v>120</v>
      </c>
      <c r="H652">
        <v>300</v>
      </c>
      <c r="I652">
        <v>11298</v>
      </c>
      <c r="J652">
        <v>67250</v>
      </c>
      <c r="K652" s="2">
        <v>41548</v>
      </c>
      <c r="L652">
        <v>10</v>
      </c>
      <c r="M652" s="1" t="s">
        <v>37</v>
      </c>
      <c r="N652" s="1" t="s">
        <v>84</v>
      </c>
      <c r="O652">
        <v>2013</v>
      </c>
      <c r="P652">
        <v>80700</v>
      </c>
      <c r="Q652">
        <v>69402</v>
      </c>
      <c r="R652">
        <v>2152</v>
      </c>
      <c r="S652" s="22">
        <v>3.1007751937984496E-2</v>
      </c>
      <c r="T652" t="str" cm="1">
        <f t="array" ref="T652">_xlfn.SWITCH(TRUE,data[[#This Row],[Profit Margin]]&lt;0,"Negative",data[[#This Row],[Profit Margin]]&lt;0.1,"Low",data[[#This Row],[Profit Margin]]&lt;0.2,"Medium","High")</f>
        <v>Low</v>
      </c>
    </row>
    <row r="653" spans="1:20" x14ac:dyDescent="0.35">
      <c r="A653">
        <v>652</v>
      </c>
      <c r="B653" s="1" t="s">
        <v>34</v>
      </c>
      <c r="C653" s="1" t="s">
        <v>23</v>
      </c>
      <c r="D653" s="1" t="s">
        <v>42</v>
      </c>
      <c r="E653" s="1" t="s">
        <v>49</v>
      </c>
      <c r="F653">
        <v>2536</v>
      </c>
      <c r="G653">
        <v>120</v>
      </c>
      <c r="H653">
        <v>300</v>
      </c>
      <c r="I653">
        <v>106512</v>
      </c>
      <c r="J653">
        <v>634000</v>
      </c>
      <c r="K653" s="2">
        <v>41579</v>
      </c>
      <c r="L653">
        <v>11</v>
      </c>
      <c r="M653" s="1" t="s">
        <v>41</v>
      </c>
      <c r="N653" s="1" t="s">
        <v>86</v>
      </c>
      <c r="O653">
        <v>2013</v>
      </c>
      <c r="P653">
        <v>760800</v>
      </c>
      <c r="Q653">
        <v>654288</v>
      </c>
      <c r="R653">
        <v>20288</v>
      </c>
      <c r="S653" s="22">
        <v>3.1007751937984496E-2</v>
      </c>
      <c r="T653" t="str" cm="1">
        <f t="array" ref="T653">_xlfn.SWITCH(TRUE,data[[#This Row],[Profit Margin]]&lt;0,"Negative",data[[#This Row],[Profit Margin]]&lt;0.1,"Low",data[[#This Row],[Profit Margin]]&lt;0.2,"Medium","High")</f>
        <v>Low</v>
      </c>
    </row>
    <row r="654" spans="1:20" x14ac:dyDescent="0.35">
      <c r="A654">
        <v>653</v>
      </c>
      <c r="B654" s="1" t="s">
        <v>18</v>
      </c>
      <c r="C654" s="1" t="s">
        <v>27</v>
      </c>
      <c r="D654" s="1" t="s">
        <v>43</v>
      </c>
      <c r="E654" s="1" t="s">
        <v>49</v>
      </c>
      <c r="F654">
        <v>2903</v>
      </c>
      <c r="G654">
        <v>250</v>
      </c>
      <c r="H654">
        <v>7</v>
      </c>
      <c r="I654">
        <v>2844.94</v>
      </c>
      <c r="J654">
        <v>14515</v>
      </c>
      <c r="K654" s="2">
        <v>41699</v>
      </c>
      <c r="L654">
        <v>3</v>
      </c>
      <c r="M654" s="1" t="s">
        <v>30</v>
      </c>
      <c r="N654" s="1" t="s">
        <v>80</v>
      </c>
      <c r="O654">
        <v>2014</v>
      </c>
      <c r="P654">
        <v>20321</v>
      </c>
      <c r="Q654">
        <v>17476.060000000001</v>
      </c>
      <c r="R654">
        <v>2961.0600000000013</v>
      </c>
      <c r="S654" s="22">
        <v>0.16943521594684391</v>
      </c>
      <c r="T654" t="str" cm="1">
        <f t="array" ref="T654">_xlfn.SWITCH(TRUE,data[[#This Row],[Profit Margin]]&lt;0,"Negative",data[[#This Row],[Profit Margin]]&lt;0.1,"Low",data[[#This Row],[Profit Margin]]&lt;0.2,"Medium","High")</f>
        <v>Medium</v>
      </c>
    </row>
    <row r="655" spans="1:20" x14ac:dyDescent="0.35">
      <c r="A655">
        <v>654</v>
      </c>
      <c r="B655" s="1" t="s">
        <v>34</v>
      </c>
      <c r="C655" s="1" t="s">
        <v>38</v>
      </c>
      <c r="D655" s="1" t="s">
        <v>43</v>
      </c>
      <c r="E655" s="1" t="s">
        <v>49</v>
      </c>
      <c r="F655">
        <v>2541</v>
      </c>
      <c r="G655">
        <v>250</v>
      </c>
      <c r="H655">
        <v>300</v>
      </c>
      <c r="I655">
        <v>106722</v>
      </c>
      <c r="J655">
        <v>635250</v>
      </c>
      <c r="K655" s="2">
        <v>41852</v>
      </c>
      <c r="L655">
        <v>8</v>
      </c>
      <c r="M655" s="1" t="s">
        <v>35</v>
      </c>
      <c r="N655" s="1" t="s">
        <v>82</v>
      </c>
      <c r="O655">
        <v>2014</v>
      </c>
      <c r="P655">
        <v>762300</v>
      </c>
      <c r="Q655">
        <v>655578</v>
      </c>
      <c r="R655">
        <v>20328</v>
      </c>
      <c r="S655" s="22">
        <v>3.1007751937984496E-2</v>
      </c>
      <c r="T655" t="str" cm="1">
        <f t="array" ref="T655">_xlfn.SWITCH(TRUE,data[[#This Row],[Profit Margin]]&lt;0,"Negative",data[[#This Row],[Profit Margin]]&lt;0.1,"Low",data[[#This Row],[Profit Margin]]&lt;0.2,"Medium","High")</f>
        <v>Low</v>
      </c>
    </row>
    <row r="656" spans="1:20" x14ac:dyDescent="0.35">
      <c r="A656">
        <v>655</v>
      </c>
      <c r="B656" s="1" t="s">
        <v>34</v>
      </c>
      <c r="C656" s="1" t="s">
        <v>19</v>
      </c>
      <c r="D656" s="1" t="s">
        <v>43</v>
      </c>
      <c r="E656" s="1" t="s">
        <v>49</v>
      </c>
      <c r="F656">
        <v>269</v>
      </c>
      <c r="G656">
        <v>250</v>
      </c>
      <c r="H656">
        <v>300</v>
      </c>
      <c r="I656">
        <v>11298</v>
      </c>
      <c r="J656">
        <v>67250</v>
      </c>
      <c r="K656" s="2">
        <v>41548</v>
      </c>
      <c r="L656">
        <v>10</v>
      </c>
      <c r="M656" s="1" t="s">
        <v>37</v>
      </c>
      <c r="N656" s="1" t="s">
        <v>84</v>
      </c>
      <c r="O656">
        <v>2013</v>
      </c>
      <c r="P656">
        <v>80700</v>
      </c>
      <c r="Q656">
        <v>69402</v>
      </c>
      <c r="R656">
        <v>2152</v>
      </c>
      <c r="S656" s="22">
        <v>3.1007751937984496E-2</v>
      </c>
      <c r="T656" t="str" cm="1">
        <f t="array" ref="T656">_xlfn.SWITCH(TRUE,data[[#This Row],[Profit Margin]]&lt;0,"Negative",data[[#This Row],[Profit Margin]]&lt;0.1,"Low",data[[#This Row],[Profit Margin]]&lt;0.2,"Medium","High")</f>
        <v>Low</v>
      </c>
    </row>
    <row r="657" spans="1:20" x14ac:dyDescent="0.35">
      <c r="A657">
        <v>656</v>
      </c>
      <c r="B657" s="1" t="s">
        <v>34</v>
      </c>
      <c r="C657" s="1" t="s">
        <v>19</v>
      </c>
      <c r="D657" s="1" t="s">
        <v>43</v>
      </c>
      <c r="E657" s="1" t="s">
        <v>49</v>
      </c>
      <c r="F657">
        <v>1496</v>
      </c>
      <c r="G657">
        <v>250</v>
      </c>
      <c r="H657">
        <v>300</v>
      </c>
      <c r="I657">
        <v>62832</v>
      </c>
      <c r="J657">
        <v>374000</v>
      </c>
      <c r="K657" s="2">
        <v>41913</v>
      </c>
      <c r="L657">
        <v>10</v>
      </c>
      <c r="M657" s="1" t="s">
        <v>37</v>
      </c>
      <c r="N657" s="1" t="s">
        <v>84</v>
      </c>
      <c r="O657">
        <v>2014</v>
      </c>
      <c r="P657">
        <v>448800</v>
      </c>
      <c r="Q657">
        <v>385968</v>
      </c>
      <c r="R657">
        <v>11968</v>
      </c>
      <c r="S657" s="22">
        <v>3.1007751937984496E-2</v>
      </c>
      <c r="T657" t="str" cm="1">
        <f t="array" ref="T657">_xlfn.SWITCH(TRUE,data[[#This Row],[Profit Margin]]&lt;0,"Negative",data[[#This Row],[Profit Margin]]&lt;0.1,"Low",data[[#This Row],[Profit Margin]]&lt;0.2,"Medium","High")</f>
        <v>Low</v>
      </c>
    </row>
    <row r="658" spans="1:20" x14ac:dyDescent="0.35">
      <c r="A658">
        <v>657</v>
      </c>
      <c r="B658" s="1" t="s">
        <v>34</v>
      </c>
      <c r="C658" s="1" t="s">
        <v>38</v>
      </c>
      <c r="D658" s="1" t="s">
        <v>43</v>
      </c>
      <c r="E658" s="1" t="s">
        <v>49</v>
      </c>
      <c r="F658">
        <v>1010</v>
      </c>
      <c r="G658">
        <v>250</v>
      </c>
      <c r="H658">
        <v>300</v>
      </c>
      <c r="I658">
        <v>42420</v>
      </c>
      <c r="J658">
        <v>252500</v>
      </c>
      <c r="K658" s="2">
        <v>41913</v>
      </c>
      <c r="L658">
        <v>10</v>
      </c>
      <c r="M658" s="1" t="s">
        <v>37</v>
      </c>
      <c r="N658" s="1" t="s">
        <v>84</v>
      </c>
      <c r="O658">
        <v>2014</v>
      </c>
      <c r="P658">
        <v>303000</v>
      </c>
      <c r="Q658">
        <v>260580</v>
      </c>
      <c r="R658">
        <v>8080</v>
      </c>
      <c r="S658" s="22">
        <v>3.1007751937984496E-2</v>
      </c>
      <c r="T658" t="str" cm="1">
        <f t="array" ref="T658">_xlfn.SWITCH(TRUE,data[[#This Row],[Profit Margin]]&lt;0,"Negative",data[[#This Row],[Profit Margin]]&lt;0.1,"Low",data[[#This Row],[Profit Margin]]&lt;0.2,"Medium","High")</f>
        <v>Low</v>
      </c>
    </row>
    <row r="659" spans="1:20" x14ac:dyDescent="0.35">
      <c r="A659">
        <v>658</v>
      </c>
      <c r="B659" s="1" t="s">
        <v>18</v>
      </c>
      <c r="C659" s="1" t="s">
        <v>25</v>
      </c>
      <c r="D659" s="1" t="s">
        <v>43</v>
      </c>
      <c r="E659" s="1" t="s">
        <v>49</v>
      </c>
      <c r="F659">
        <v>1281</v>
      </c>
      <c r="G659">
        <v>250</v>
      </c>
      <c r="H659">
        <v>350</v>
      </c>
      <c r="I659">
        <v>62769</v>
      </c>
      <c r="J659">
        <v>333060</v>
      </c>
      <c r="K659" s="2">
        <v>41609</v>
      </c>
      <c r="L659">
        <v>12</v>
      </c>
      <c r="M659" s="1" t="s">
        <v>28</v>
      </c>
      <c r="N659" s="1" t="s">
        <v>79</v>
      </c>
      <c r="O659">
        <v>2013</v>
      </c>
      <c r="P659">
        <v>448350</v>
      </c>
      <c r="Q659">
        <v>385581</v>
      </c>
      <c r="R659">
        <v>52521</v>
      </c>
      <c r="S659" s="22">
        <v>0.13621262458471761</v>
      </c>
      <c r="T659" t="str" cm="1">
        <f t="array" ref="T659">_xlfn.SWITCH(TRUE,data[[#This Row],[Profit Margin]]&lt;0,"Negative",data[[#This Row],[Profit Margin]]&lt;0.1,"Low",data[[#This Row],[Profit Margin]]&lt;0.2,"Medium","High")</f>
        <v>Medium</v>
      </c>
    </row>
    <row r="660" spans="1:20" x14ac:dyDescent="0.35">
      <c r="A660">
        <v>659</v>
      </c>
      <c r="B660" s="1" t="s">
        <v>34</v>
      </c>
      <c r="C660" s="1" t="s">
        <v>19</v>
      </c>
      <c r="D660" s="1" t="s">
        <v>45</v>
      </c>
      <c r="E660" s="1" t="s">
        <v>49</v>
      </c>
      <c r="F660">
        <v>888</v>
      </c>
      <c r="G660">
        <v>260</v>
      </c>
      <c r="H660">
        <v>300</v>
      </c>
      <c r="I660">
        <v>37296</v>
      </c>
      <c r="J660">
        <v>222000</v>
      </c>
      <c r="K660" s="2">
        <v>41699</v>
      </c>
      <c r="L660">
        <v>3</v>
      </c>
      <c r="M660" s="1" t="s">
        <v>30</v>
      </c>
      <c r="N660" s="1" t="s">
        <v>80</v>
      </c>
      <c r="O660">
        <v>2014</v>
      </c>
      <c r="P660">
        <v>266400</v>
      </c>
      <c r="Q660">
        <v>229104</v>
      </c>
      <c r="R660">
        <v>7104</v>
      </c>
      <c r="S660" s="22">
        <v>3.1007751937984496E-2</v>
      </c>
      <c r="T660" t="str" cm="1">
        <f t="array" ref="T660">_xlfn.SWITCH(TRUE,data[[#This Row],[Profit Margin]]&lt;0,"Negative",data[[#This Row],[Profit Margin]]&lt;0.1,"Low",data[[#This Row],[Profit Margin]]&lt;0.2,"Medium","High")</f>
        <v>Low</v>
      </c>
    </row>
    <row r="661" spans="1:20" x14ac:dyDescent="0.35">
      <c r="A661">
        <v>660</v>
      </c>
      <c r="B661" s="1" t="s">
        <v>32</v>
      </c>
      <c r="C661" s="1" t="s">
        <v>38</v>
      </c>
      <c r="D661" s="1" t="s">
        <v>45</v>
      </c>
      <c r="E661" s="1" t="s">
        <v>49</v>
      </c>
      <c r="F661">
        <v>2844</v>
      </c>
      <c r="G661">
        <v>260</v>
      </c>
      <c r="H661">
        <v>125</v>
      </c>
      <c r="I661">
        <v>49770</v>
      </c>
      <c r="J661">
        <v>341280</v>
      </c>
      <c r="K661" s="2">
        <v>41760</v>
      </c>
      <c r="L661">
        <v>5</v>
      </c>
      <c r="M661" s="1" t="s">
        <v>47</v>
      </c>
      <c r="N661" s="1" t="s">
        <v>47</v>
      </c>
      <c r="O661">
        <v>2014</v>
      </c>
      <c r="P661">
        <v>355500</v>
      </c>
      <c r="Q661">
        <v>305730</v>
      </c>
      <c r="R661">
        <v>-35550</v>
      </c>
      <c r="S661" s="22">
        <v>-0.11627906976744186</v>
      </c>
      <c r="T661" t="str" cm="1">
        <f t="array" ref="T661">_xlfn.SWITCH(TRUE,data[[#This Row],[Profit Margin]]&lt;0,"Negative",data[[#This Row],[Profit Margin]]&lt;0.1,"Low",data[[#This Row],[Profit Margin]]&lt;0.2,"Medium","High")</f>
        <v>Negative</v>
      </c>
    </row>
    <row r="662" spans="1:20" x14ac:dyDescent="0.35">
      <c r="A662">
        <v>661</v>
      </c>
      <c r="B662" s="1" t="s">
        <v>31</v>
      </c>
      <c r="C662" s="1" t="s">
        <v>25</v>
      </c>
      <c r="D662" s="1" t="s">
        <v>45</v>
      </c>
      <c r="E662" s="1" t="s">
        <v>49</v>
      </c>
      <c r="F662">
        <v>2475</v>
      </c>
      <c r="G662">
        <v>260</v>
      </c>
      <c r="H662">
        <v>12</v>
      </c>
      <c r="I662">
        <v>4158</v>
      </c>
      <c r="J662">
        <v>7425</v>
      </c>
      <c r="K662" s="2">
        <v>41852</v>
      </c>
      <c r="L662">
        <v>8</v>
      </c>
      <c r="M662" s="1" t="s">
        <v>35</v>
      </c>
      <c r="N662" s="1" t="s">
        <v>82</v>
      </c>
      <c r="O662">
        <v>2014</v>
      </c>
      <c r="P662">
        <v>29700</v>
      </c>
      <c r="Q662">
        <v>25542</v>
      </c>
      <c r="R662">
        <v>18117</v>
      </c>
      <c r="S662" s="22">
        <v>0.70930232558139539</v>
      </c>
      <c r="T662" t="str" cm="1">
        <f t="array" ref="T662">_xlfn.SWITCH(TRUE,data[[#This Row],[Profit Margin]]&lt;0,"Negative",data[[#This Row],[Profit Margin]]&lt;0.1,"Low",data[[#This Row],[Profit Margin]]&lt;0.2,"Medium","High")</f>
        <v>High</v>
      </c>
    </row>
    <row r="663" spans="1:20" x14ac:dyDescent="0.35">
      <c r="A663">
        <v>662</v>
      </c>
      <c r="B663" s="1" t="s">
        <v>24</v>
      </c>
      <c r="C663" s="1" t="s">
        <v>19</v>
      </c>
      <c r="D663" s="1" t="s">
        <v>45</v>
      </c>
      <c r="E663" s="1" t="s">
        <v>49</v>
      </c>
      <c r="F663">
        <v>1743</v>
      </c>
      <c r="G663">
        <v>260</v>
      </c>
      <c r="H663">
        <v>15</v>
      </c>
      <c r="I663">
        <v>3660.3</v>
      </c>
      <c r="J663">
        <v>17430</v>
      </c>
      <c r="K663" s="2">
        <v>41548</v>
      </c>
      <c r="L663">
        <v>10</v>
      </c>
      <c r="M663" s="1" t="s">
        <v>37</v>
      </c>
      <c r="N663" s="1" t="s">
        <v>84</v>
      </c>
      <c r="O663">
        <v>2013</v>
      </c>
      <c r="P663">
        <v>26145</v>
      </c>
      <c r="Q663">
        <v>22484.7</v>
      </c>
      <c r="R663">
        <v>5054.7000000000007</v>
      </c>
      <c r="S663" s="22">
        <v>0.22480620155038764</v>
      </c>
      <c r="T663" t="str" cm="1">
        <f t="array" ref="T663">_xlfn.SWITCH(TRUE,data[[#This Row],[Profit Margin]]&lt;0,"Negative",data[[#This Row],[Profit Margin]]&lt;0.1,"Low",data[[#This Row],[Profit Margin]]&lt;0.2,"Medium","High")</f>
        <v>High</v>
      </c>
    </row>
    <row r="664" spans="1:20" x14ac:dyDescent="0.35">
      <c r="A664">
        <v>663</v>
      </c>
      <c r="B664" s="1" t="s">
        <v>31</v>
      </c>
      <c r="C664" s="1" t="s">
        <v>38</v>
      </c>
      <c r="D664" s="1" t="s">
        <v>45</v>
      </c>
      <c r="E664" s="1" t="s">
        <v>49</v>
      </c>
      <c r="F664">
        <v>2914</v>
      </c>
      <c r="G664">
        <v>260</v>
      </c>
      <c r="H664">
        <v>12</v>
      </c>
      <c r="I664">
        <v>4895.5200000000004</v>
      </c>
      <c r="J664">
        <v>8742</v>
      </c>
      <c r="K664" s="2">
        <v>41913</v>
      </c>
      <c r="L664">
        <v>10</v>
      </c>
      <c r="M664" s="1" t="s">
        <v>37</v>
      </c>
      <c r="N664" s="1" t="s">
        <v>84</v>
      </c>
      <c r="O664">
        <v>2014</v>
      </c>
      <c r="P664">
        <v>34968</v>
      </c>
      <c r="Q664">
        <v>30072.48</v>
      </c>
      <c r="R664">
        <v>21330.48</v>
      </c>
      <c r="S664" s="22">
        <v>0.70930232558139539</v>
      </c>
      <c r="T664" t="str" cm="1">
        <f t="array" ref="T664">_xlfn.SWITCH(TRUE,data[[#This Row],[Profit Margin]]&lt;0,"Negative",data[[#This Row],[Profit Margin]]&lt;0.1,"Low",data[[#This Row],[Profit Margin]]&lt;0.2,"Medium","High")</f>
        <v>High</v>
      </c>
    </row>
    <row r="665" spans="1:20" x14ac:dyDescent="0.35">
      <c r="A665">
        <v>664</v>
      </c>
      <c r="B665" s="1" t="s">
        <v>18</v>
      </c>
      <c r="C665" s="1" t="s">
        <v>25</v>
      </c>
      <c r="D665" s="1" t="s">
        <v>45</v>
      </c>
      <c r="E665" s="1" t="s">
        <v>49</v>
      </c>
      <c r="F665">
        <v>1731</v>
      </c>
      <c r="G665">
        <v>260</v>
      </c>
      <c r="H665">
        <v>7</v>
      </c>
      <c r="I665">
        <v>1696.38</v>
      </c>
      <c r="J665">
        <v>8655</v>
      </c>
      <c r="K665" s="2">
        <v>41913</v>
      </c>
      <c r="L665">
        <v>10</v>
      </c>
      <c r="M665" s="1" t="s">
        <v>37</v>
      </c>
      <c r="N665" s="1" t="s">
        <v>84</v>
      </c>
      <c r="O665">
        <v>2014</v>
      </c>
      <c r="P665">
        <v>12117</v>
      </c>
      <c r="Q665">
        <v>10420.619999999999</v>
      </c>
      <c r="R665">
        <v>1765.619999999999</v>
      </c>
      <c r="S665" s="22">
        <v>0.16943521594684377</v>
      </c>
      <c r="T665" t="str" cm="1">
        <f t="array" ref="T665">_xlfn.SWITCH(TRUE,data[[#This Row],[Profit Margin]]&lt;0,"Negative",data[[#This Row],[Profit Margin]]&lt;0.1,"Low",data[[#This Row],[Profit Margin]]&lt;0.2,"Medium","High")</f>
        <v>Medium</v>
      </c>
    </row>
    <row r="666" spans="1:20" x14ac:dyDescent="0.35">
      <c r="A666">
        <v>665</v>
      </c>
      <c r="B666" s="1" t="s">
        <v>18</v>
      </c>
      <c r="C666" s="1" t="s">
        <v>27</v>
      </c>
      <c r="D666" s="1" t="s">
        <v>45</v>
      </c>
      <c r="E666" s="1" t="s">
        <v>49</v>
      </c>
      <c r="F666">
        <v>1727</v>
      </c>
      <c r="G666">
        <v>260</v>
      </c>
      <c r="H666">
        <v>7</v>
      </c>
      <c r="I666">
        <v>1692.46</v>
      </c>
      <c r="J666">
        <v>8635</v>
      </c>
      <c r="K666" s="2">
        <v>41548</v>
      </c>
      <c r="L666">
        <v>10</v>
      </c>
      <c r="M666" s="1" t="s">
        <v>37</v>
      </c>
      <c r="N666" s="1" t="s">
        <v>84</v>
      </c>
      <c r="O666">
        <v>2013</v>
      </c>
      <c r="P666">
        <v>12089</v>
      </c>
      <c r="Q666">
        <v>10396.540000000001</v>
      </c>
      <c r="R666">
        <v>1761.5400000000009</v>
      </c>
      <c r="S666" s="22">
        <v>0.16943521594684394</v>
      </c>
      <c r="T666" t="str" cm="1">
        <f t="array" ref="T666">_xlfn.SWITCH(TRUE,data[[#This Row],[Profit Margin]]&lt;0,"Negative",data[[#This Row],[Profit Margin]]&lt;0.1,"Low",data[[#This Row],[Profit Margin]]&lt;0.2,"Medium","High")</f>
        <v>Medium</v>
      </c>
    </row>
    <row r="667" spans="1:20" x14ac:dyDescent="0.35">
      <c r="A667">
        <v>666</v>
      </c>
      <c r="B667" s="1" t="s">
        <v>24</v>
      </c>
      <c r="C667" s="1" t="s">
        <v>27</v>
      </c>
      <c r="D667" s="1" t="s">
        <v>45</v>
      </c>
      <c r="E667" s="1" t="s">
        <v>49</v>
      </c>
      <c r="F667">
        <v>1870</v>
      </c>
      <c r="G667">
        <v>260</v>
      </c>
      <c r="H667">
        <v>15</v>
      </c>
      <c r="I667">
        <v>3927</v>
      </c>
      <c r="J667">
        <v>18700</v>
      </c>
      <c r="K667" s="2">
        <v>41579</v>
      </c>
      <c r="L667">
        <v>11</v>
      </c>
      <c r="M667" s="1" t="s">
        <v>41</v>
      </c>
      <c r="N667" s="1" t="s">
        <v>86</v>
      </c>
      <c r="O667">
        <v>2013</v>
      </c>
      <c r="P667">
        <v>28050</v>
      </c>
      <c r="Q667">
        <v>24123</v>
      </c>
      <c r="R667">
        <v>5423</v>
      </c>
      <c r="S667" s="22">
        <v>0.22480620155038761</v>
      </c>
      <c r="T667" t="str" cm="1">
        <f t="array" ref="T667">_xlfn.SWITCH(TRUE,data[[#This Row],[Profit Margin]]&lt;0,"Negative",data[[#This Row],[Profit Margin]]&lt;0.1,"Low",data[[#This Row],[Profit Margin]]&lt;0.2,"Medium","High")</f>
        <v>High</v>
      </c>
    </row>
    <row r="668" spans="1:20" x14ac:dyDescent="0.35">
      <c r="A668">
        <v>667</v>
      </c>
      <c r="B668" s="1" t="s">
        <v>32</v>
      </c>
      <c r="C668" s="1" t="s">
        <v>25</v>
      </c>
      <c r="D668" s="1" t="s">
        <v>20</v>
      </c>
      <c r="E668" s="1" t="s">
        <v>49</v>
      </c>
      <c r="F668">
        <v>1174</v>
      </c>
      <c r="G668">
        <v>3</v>
      </c>
      <c r="H668">
        <v>125</v>
      </c>
      <c r="I668">
        <v>22012.5</v>
      </c>
      <c r="J668">
        <v>140880</v>
      </c>
      <c r="K668" s="2">
        <v>41852</v>
      </c>
      <c r="L668">
        <v>8</v>
      </c>
      <c r="M668" s="1" t="s">
        <v>35</v>
      </c>
      <c r="N668" s="1" t="s">
        <v>82</v>
      </c>
      <c r="O668">
        <v>2014</v>
      </c>
      <c r="P668">
        <v>146750</v>
      </c>
      <c r="Q668">
        <v>124737.5</v>
      </c>
      <c r="R668">
        <v>-16142.5</v>
      </c>
      <c r="S668" s="22">
        <v>-0.12941176470588237</v>
      </c>
      <c r="T668" t="str" cm="1">
        <f t="array" ref="T668">_xlfn.SWITCH(TRUE,data[[#This Row],[Profit Margin]]&lt;0,"Negative",data[[#This Row],[Profit Margin]]&lt;0.1,"Low",data[[#This Row],[Profit Margin]]&lt;0.2,"Medium","High")</f>
        <v>Negative</v>
      </c>
    </row>
    <row r="669" spans="1:20" x14ac:dyDescent="0.35">
      <c r="A669">
        <v>668</v>
      </c>
      <c r="B669" s="1" t="s">
        <v>32</v>
      </c>
      <c r="C669" s="1" t="s">
        <v>23</v>
      </c>
      <c r="D669" s="1" t="s">
        <v>20</v>
      </c>
      <c r="E669" s="1" t="s">
        <v>49</v>
      </c>
      <c r="F669">
        <v>2767</v>
      </c>
      <c r="G669">
        <v>3</v>
      </c>
      <c r="H669">
        <v>125</v>
      </c>
      <c r="I669">
        <v>51881.25</v>
      </c>
      <c r="J669">
        <v>332040</v>
      </c>
      <c r="K669" s="2">
        <v>41852</v>
      </c>
      <c r="L669">
        <v>8</v>
      </c>
      <c r="M669" s="1" t="s">
        <v>35</v>
      </c>
      <c r="N669" s="1" t="s">
        <v>82</v>
      </c>
      <c r="O669">
        <v>2014</v>
      </c>
      <c r="P669">
        <v>345875</v>
      </c>
      <c r="Q669">
        <v>293993.75</v>
      </c>
      <c r="R669">
        <v>-38046.25</v>
      </c>
      <c r="S669" s="22">
        <v>-0.12941176470588237</v>
      </c>
      <c r="T669" t="str" cm="1">
        <f t="array" ref="T669">_xlfn.SWITCH(TRUE,data[[#This Row],[Profit Margin]]&lt;0,"Negative",data[[#This Row],[Profit Margin]]&lt;0.1,"Low",data[[#This Row],[Profit Margin]]&lt;0.2,"Medium","High")</f>
        <v>Negative</v>
      </c>
    </row>
    <row r="670" spans="1:20" x14ac:dyDescent="0.35">
      <c r="A670">
        <v>669</v>
      </c>
      <c r="B670" s="1" t="s">
        <v>32</v>
      </c>
      <c r="C670" s="1" t="s">
        <v>23</v>
      </c>
      <c r="D670" s="1" t="s">
        <v>20</v>
      </c>
      <c r="E670" s="1" t="s">
        <v>49</v>
      </c>
      <c r="F670">
        <v>1085</v>
      </c>
      <c r="G670">
        <v>3</v>
      </c>
      <c r="H670">
        <v>125</v>
      </c>
      <c r="I670">
        <v>20343.75</v>
      </c>
      <c r="J670">
        <v>130200</v>
      </c>
      <c r="K670" s="2">
        <v>41913</v>
      </c>
      <c r="L670">
        <v>10</v>
      </c>
      <c r="M670" s="1" t="s">
        <v>37</v>
      </c>
      <c r="N670" s="1" t="s">
        <v>84</v>
      </c>
      <c r="O670">
        <v>2014</v>
      </c>
      <c r="P670">
        <v>135625</v>
      </c>
      <c r="Q670">
        <v>115281.25</v>
      </c>
      <c r="R670">
        <v>-14918.75</v>
      </c>
      <c r="S670" s="22">
        <v>-0.12941176470588237</v>
      </c>
      <c r="T670" t="str" cm="1">
        <f t="array" ref="T670">_xlfn.SWITCH(TRUE,data[[#This Row],[Profit Margin]]&lt;0,"Negative",data[[#This Row],[Profit Margin]]&lt;0.1,"Low",data[[#This Row],[Profit Margin]]&lt;0.2,"Medium","High")</f>
        <v>Negative</v>
      </c>
    </row>
    <row r="671" spans="1:20" x14ac:dyDescent="0.35">
      <c r="A671">
        <v>670</v>
      </c>
      <c r="B671" s="1" t="s">
        <v>34</v>
      </c>
      <c r="C671" s="1" t="s">
        <v>27</v>
      </c>
      <c r="D671" s="1" t="s">
        <v>29</v>
      </c>
      <c r="E671" s="1" t="s">
        <v>49</v>
      </c>
      <c r="F671">
        <v>546</v>
      </c>
      <c r="G671">
        <v>5</v>
      </c>
      <c r="H671">
        <v>300</v>
      </c>
      <c r="I671">
        <v>24570</v>
      </c>
      <c r="J671">
        <v>136500</v>
      </c>
      <c r="K671" s="2">
        <v>41913</v>
      </c>
      <c r="L671">
        <v>10</v>
      </c>
      <c r="M671" s="1" t="s">
        <v>37</v>
      </c>
      <c r="N671" s="1" t="s">
        <v>84</v>
      </c>
      <c r="O671">
        <v>2014</v>
      </c>
      <c r="P671">
        <v>163800</v>
      </c>
      <c r="Q671">
        <v>139230</v>
      </c>
      <c r="R671">
        <v>2730</v>
      </c>
      <c r="S671" s="22">
        <v>1.9607843137254902E-2</v>
      </c>
      <c r="T671" t="str" cm="1">
        <f t="array" ref="T671">_xlfn.SWITCH(TRUE,data[[#This Row],[Profit Margin]]&lt;0,"Negative",data[[#This Row],[Profit Margin]]&lt;0.1,"Low",data[[#This Row],[Profit Margin]]&lt;0.2,"Medium","High")</f>
        <v>Low</v>
      </c>
    </row>
    <row r="672" spans="1:20" x14ac:dyDescent="0.35">
      <c r="A672">
        <v>671</v>
      </c>
      <c r="B672" s="1" t="s">
        <v>18</v>
      </c>
      <c r="C672" s="1" t="s">
        <v>23</v>
      </c>
      <c r="D672" s="1" t="s">
        <v>39</v>
      </c>
      <c r="E672" s="1" t="s">
        <v>49</v>
      </c>
      <c r="F672">
        <v>1158</v>
      </c>
      <c r="G672">
        <v>10</v>
      </c>
      <c r="H672">
        <v>20</v>
      </c>
      <c r="I672">
        <v>3474</v>
      </c>
      <c r="J672">
        <v>11580</v>
      </c>
      <c r="K672" s="2">
        <v>41699</v>
      </c>
      <c r="L672">
        <v>3</v>
      </c>
      <c r="M672" s="1" t="s">
        <v>30</v>
      </c>
      <c r="N672" s="1" t="s">
        <v>80</v>
      </c>
      <c r="O672">
        <v>2014</v>
      </c>
      <c r="P672">
        <v>23160</v>
      </c>
      <c r="Q672">
        <v>19686</v>
      </c>
      <c r="R672">
        <v>8106</v>
      </c>
      <c r="S672" s="22">
        <v>0.41176470588235292</v>
      </c>
      <c r="T672" t="str" cm="1">
        <f t="array" ref="T672">_xlfn.SWITCH(TRUE,data[[#This Row],[Profit Margin]]&lt;0,"Negative",data[[#This Row],[Profit Margin]]&lt;0.1,"Low",data[[#This Row],[Profit Margin]]&lt;0.2,"Medium","High")</f>
        <v>High</v>
      </c>
    </row>
    <row r="673" spans="1:20" x14ac:dyDescent="0.35">
      <c r="A673">
        <v>672</v>
      </c>
      <c r="B673" s="1" t="s">
        <v>24</v>
      </c>
      <c r="C673" s="1" t="s">
        <v>19</v>
      </c>
      <c r="D673" s="1" t="s">
        <v>39</v>
      </c>
      <c r="E673" s="1" t="s">
        <v>49</v>
      </c>
      <c r="F673">
        <v>1614</v>
      </c>
      <c r="G673">
        <v>10</v>
      </c>
      <c r="H673">
        <v>15</v>
      </c>
      <c r="I673">
        <v>3631.5</v>
      </c>
      <c r="J673">
        <v>16140</v>
      </c>
      <c r="K673" s="2">
        <v>41730</v>
      </c>
      <c r="L673">
        <v>4</v>
      </c>
      <c r="M673" s="1" t="s">
        <v>44</v>
      </c>
      <c r="N673" s="1" t="s">
        <v>87</v>
      </c>
      <c r="O673">
        <v>2014</v>
      </c>
      <c r="P673">
        <v>24210</v>
      </c>
      <c r="Q673">
        <v>20578.5</v>
      </c>
      <c r="R673">
        <v>4438.5</v>
      </c>
      <c r="S673" s="22">
        <v>0.21568627450980393</v>
      </c>
      <c r="T673" t="str" cm="1">
        <f t="array" ref="T673">_xlfn.SWITCH(TRUE,data[[#This Row],[Profit Margin]]&lt;0,"Negative",data[[#This Row],[Profit Margin]]&lt;0.1,"Low",data[[#This Row],[Profit Margin]]&lt;0.2,"Medium","High")</f>
        <v>High</v>
      </c>
    </row>
    <row r="674" spans="1:20" x14ac:dyDescent="0.35">
      <c r="A674">
        <v>673</v>
      </c>
      <c r="B674" s="1" t="s">
        <v>18</v>
      </c>
      <c r="C674" s="1" t="s">
        <v>27</v>
      </c>
      <c r="D674" s="1" t="s">
        <v>39</v>
      </c>
      <c r="E674" s="1" t="s">
        <v>49</v>
      </c>
      <c r="F674">
        <v>2535</v>
      </c>
      <c r="G674">
        <v>10</v>
      </c>
      <c r="H674">
        <v>7</v>
      </c>
      <c r="I674">
        <v>2661.75</v>
      </c>
      <c r="J674">
        <v>12675</v>
      </c>
      <c r="K674" s="2">
        <v>41730</v>
      </c>
      <c r="L674">
        <v>4</v>
      </c>
      <c r="M674" s="1" t="s">
        <v>44</v>
      </c>
      <c r="N674" s="1" t="s">
        <v>87</v>
      </c>
      <c r="O674">
        <v>2014</v>
      </c>
      <c r="P674">
        <v>17745</v>
      </c>
      <c r="Q674">
        <v>15083.25</v>
      </c>
      <c r="R674">
        <v>2408.25</v>
      </c>
      <c r="S674" s="22">
        <v>0.15966386554621848</v>
      </c>
      <c r="T674" t="str" cm="1">
        <f t="array" ref="T674">_xlfn.SWITCH(TRUE,data[[#This Row],[Profit Margin]]&lt;0,"Negative",data[[#This Row],[Profit Margin]]&lt;0.1,"Low",data[[#This Row],[Profit Margin]]&lt;0.2,"Medium","High")</f>
        <v>Medium</v>
      </c>
    </row>
    <row r="675" spans="1:20" x14ac:dyDescent="0.35">
      <c r="A675">
        <v>674</v>
      </c>
      <c r="B675" s="1" t="s">
        <v>18</v>
      </c>
      <c r="C675" s="1" t="s">
        <v>27</v>
      </c>
      <c r="D675" s="1" t="s">
        <v>39</v>
      </c>
      <c r="E675" s="1" t="s">
        <v>49</v>
      </c>
      <c r="F675">
        <v>2851</v>
      </c>
      <c r="G675">
        <v>10</v>
      </c>
      <c r="H675">
        <v>350</v>
      </c>
      <c r="I675">
        <v>149677.5</v>
      </c>
      <c r="J675">
        <v>741260</v>
      </c>
      <c r="K675" s="2">
        <v>41760</v>
      </c>
      <c r="L675">
        <v>5</v>
      </c>
      <c r="M675" s="1" t="s">
        <v>47</v>
      </c>
      <c r="N675" s="1" t="s">
        <v>47</v>
      </c>
      <c r="O675">
        <v>2014</v>
      </c>
      <c r="P675">
        <v>997850</v>
      </c>
      <c r="Q675">
        <v>848172.5</v>
      </c>
      <c r="R675">
        <v>106912.5</v>
      </c>
      <c r="S675" s="22">
        <v>0.12605042016806722</v>
      </c>
      <c r="T675" t="str" cm="1">
        <f t="array" ref="T675">_xlfn.SWITCH(TRUE,data[[#This Row],[Profit Margin]]&lt;0,"Negative",data[[#This Row],[Profit Margin]]&lt;0.1,"Low",data[[#This Row],[Profit Margin]]&lt;0.2,"Medium","High")</f>
        <v>Medium</v>
      </c>
    </row>
    <row r="676" spans="1:20" x14ac:dyDescent="0.35">
      <c r="A676">
        <v>675</v>
      </c>
      <c r="B676" s="1" t="s">
        <v>24</v>
      </c>
      <c r="C676" s="1" t="s">
        <v>19</v>
      </c>
      <c r="D676" s="1" t="s">
        <v>39</v>
      </c>
      <c r="E676" s="1" t="s">
        <v>49</v>
      </c>
      <c r="F676">
        <v>2559</v>
      </c>
      <c r="G676">
        <v>10</v>
      </c>
      <c r="H676">
        <v>15</v>
      </c>
      <c r="I676">
        <v>5757.75</v>
      </c>
      <c r="J676">
        <v>25590</v>
      </c>
      <c r="K676" s="2">
        <v>41852</v>
      </c>
      <c r="L676">
        <v>8</v>
      </c>
      <c r="M676" s="1" t="s">
        <v>35</v>
      </c>
      <c r="N676" s="1" t="s">
        <v>82</v>
      </c>
      <c r="O676">
        <v>2014</v>
      </c>
      <c r="P676">
        <v>38385</v>
      </c>
      <c r="Q676">
        <v>32627.25</v>
      </c>
      <c r="R676">
        <v>7037.25</v>
      </c>
      <c r="S676" s="22">
        <v>0.21568627450980393</v>
      </c>
      <c r="T676" t="str" cm="1">
        <f t="array" ref="T676">_xlfn.SWITCH(TRUE,data[[#This Row],[Profit Margin]]&lt;0,"Negative",data[[#This Row],[Profit Margin]]&lt;0.1,"Low",data[[#This Row],[Profit Margin]]&lt;0.2,"Medium","High")</f>
        <v>High</v>
      </c>
    </row>
    <row r="677" spans="1:20" x14ac:dyDescent="0.35">
      <c r="A677">
        <v>676</v>
      </c>
      <c r="B677" s="1" t="s">
        <v>18</v>
      </c>
      <c r="C677" s="1" t="s">
        <v>38</v>
      </c>
      <c r="D677" s="1" t="s">
        <v>39</v>
      </c>
      <c r="E677" s="1" t="s">
        <v>49</v>
      </c>
      <c r="F677">
        <v>267</v>
      </c>
      <c r="G677">
        <v>10</v>
      </c>
      <c r="H677">
        <v>20</v>
      </c>
      <c r="I677">
        <v>801</v>
      </c>
      <c r="J677">
        <v>2670</v>
      </c>
      <c r="K677" s="2">
        <v>41548</v>
      </c>
      <c r="L677">
        <v>10</v>
      </c>
      <c r="M677" s="1" t="s">
        <v>37</v>
      </c>
      <c r="N677" s="1" t="s">
        <v>84</v>
      </c>
      <c r="O677">
        <v>2013</v>
      </c>
      <c r="P677">
        <v>5340</v>
      </c>
      <c r="Q677">
        <v>4539</v>
      </c>
      <c r="R677">
        <v>1869</v>
      </c>
      <c r="S677" s="22">
        <v>0.41176470588235292</v>
      </c>
      <c r="T677" t="str" cm="1">
        <f t="array" ref="T677">_xlfn.SWITCH(TRUE,data[[#This Row],[Profit Margin]]&lt;0,"Negative",data[[#This Row],[Profit Margin]]&lt;0.1,"Low",data[[#This Row],[Profit Margin]]&lt;0.2,"Medium","High")</f>
        <v>High</v>
      </c>
    </row>
    <row r="678" spans="1:20" x14ac:dyDescent="0.35">
      <c r="A678">
        <v>677</v>
      </c>
      <c r="B678" s="1" t="s">
        <v>32</v>
      </c>
      <c r="C678" s="1" t="s">
        <v>23</v>
      </c>
      <c r="D678" s="1" t="s">
        <v>39</v>
      </c>
      <c r="E678" s="1" t="s">
        <v>49</v>
      </c>
      <c r="F678">
        <v>1085</v>
      </c>
      <c r="G678">
        <v>10</v>
      </c>
      <c r="H678">
        <v>125</v>
      </c>
      <c r="I678">
        <v>20343.75</v>
      </c>
      <c r="J678">
        <v>130200</v>
      </c>
      <c r="K678" s="2">
        <v>41913</v>
      </c>
      <c r="L678">
        <v>10</v>
      </c>
      <c r="M678" s="1" t="s">
        <v>37</v>
      </c>
      <c r="N678" s="1" t="s">
        <v>84</v>
      </c>
      <c r="O678">
        <v>2014</v>
      </c>
      <c r="P678">
        <v>135625</v>
      </c>
      <c r="Q678">
        <v>115281.25</v>
      </c>
      <c r="R678">
        <v>-14918.75</v>
      </c>
      <c r="S678" s="22">
        <v>-0.12941176470588237</v>
      </c>
      <c r="T678" t="str" cm="1">
        <f t="array" ref="T678">_xlfn.SWITCH(TRUE,data[[#This Row],[Profit Margin]]&lt;0,"Negative",data[[#This Row],[Profit Margin]]&lt;0.1,"Low",data[[#This Row],[Profit Margin]]&lt;0.2,"Medium","High")</f>
        <v>Negative</v>
      </c>
    </row>
    <row r="679" spans="1:20" x14ac:dyDescent="0.35">
      <c r="A679">
        <v>678</v>
      </c>
      <c r="B679" s="1" t="s">
        <v>24</v>
      </c>
      <c r="C679" s="1" t="s">
        <v>23</v>
      </c>
      <c r="D679" s="1" t="s">
        <v>39</v>
      </c>
      <c r="E679" s="1" t="s">
        <v>49</v>
      </c>
      <c r="F679">
        <v>1175</v>
      </c>
      <c r="G679">
        <v>10</v>
      </c>
      <c r="H679">
        <v>15</v>
      </c>
      <c r="I679">
        <v>2643.75</v>
      </c>
      <c r="J679">
        <v>11750</v>
      </c>
      <c r="K679" s="2">
        <v>41913</v>
      </c>
      <c r="L679">
        <v>10</v>
      </c>
      <c r="M679" s="1" t="s">
        <v>37</v>
      </c>
      <c r="N679" s="1" t="s">
        <v>84</v>
      </c>
      <c r="O679">
        <v>2014</v>
      </c>
      <c r="P679">
        <v>17625</v>
      </c>
      <c r="Q679">
        <v>14981.25</v>
      </c>
      <c r="R679">
        <v>3231.25</v>
      </c>
      <c r="S679" s="22">
        <v>0.21568627450980393</v>
      </c>
      <c r="T679" t="str" cm="1">
        <f t="array" ref="T679">_xlfn.SWITCH(TRUE,data[[#This Row],[Profit Margin]]&lt;0,"Negative",data[[#This Row],[Profit Margin]]&lt;0.1,"Low",data[[#This Row],[Profit Margin]]&lt;0.2,"Medium","High")</f>
        <v>High</v>
      </c>
    </row>
    <row r="680" spans="1:20" x14ac:dyDescent="0.35">
      <c r="A680">
        <v>679</v>
      </c>
      <c r="B680" s="1" t="s">
        <v>18</v>
      </c>
      <c r="C680" s="1" t="s">
        <v>38</v>
      </c>
      <c r="D680" s="1" t="s">
        <v>39</v>
      </c>
      <c r="E680" s="1" t="s">
        <v>49</v>
      </c>
      <c r="F680">
        <v>2007</v>
      </c>
      <c r="G680">
        <v>10</v>
      </c>
      <c r="H680">
        <v>350</v>
      </c>
      <c r="I680">
        <v>105367.5</v>
      </c>
      <c r="J680">
        <v>521820</v>
      </c>
      <c r="K680" s="2">
        <v>41579</v>
      </c>
      <c r="L680">
        <v>11</v>
      </c>
      <c r="M680" s="1" t="s">
        <v>41</v>
      </c>
      <c r="N680" s="1" t="s">
        <v>86</v>
      </c>
      <c r="O680">
        <v>2013</v>
      </c>
      <c r="P680">
        <v>702450</v>
      </c>
      <c r="Q680">
        <v>597082.5</v>
      </c>
      <c r="R680">
        <v>75262.5</v>
      </c>
      <c r="S680" s="22">
        <v>0.12605042016806722</v>
      </c>
      <c r="T680" t="str" cm="1">
        <f t="array" ref="T680">_xlfn.SWITCH(TRUE,data[[#This Row],[Profit Margin]]&lt;0,"Negative",data[[#This Row],[Profit Margin]]&lt;0.1,"Low",data[[#This Row],[Profit Margin]]&lt;0.2,"Medium","High")</f>
        <v>Medium</v>
      </c>
    </row>
    <row r="681" spans="1:20" x14ac:dyDescent="0.35">
      <c r="A681">
        <v>680</v>
      </c>
      <c r="B681" s="1" t="s">
        <v>18</v>
      </c>
      <c r="C681" s="1" t="s">
        <v>27</v>
      </c>
      <c r="D681" s="1" t="s">
        <v>39</v>
      </c>
      <c r="E681" s="1" t="s">
        <v>49</v>
      </c>
      <c r="F681">
        <v>2151</v>
      </c>
      <c r="G681">
        <v>10</v>
      </c>
      <c r="H681">
        <v>350</v>
      </c>
      <c r="I681">
        <v>112927.5</v>
      </c>
      <c r="J681">
        <v>559260</v>
      </c>
      <c r="K681" s="2">
        <v>41579</v>
      </c>
      <c r="L681">
        <v>11</v>
      </c>
      <c r="M681" s="1" t="s">
        <v>41</v>
      </c>
      <c r="N681" s="1" t="s">
        <v>86</v>
      </c>
      <c r="O681">
        <v>2013</v>
      </c>
      <c r="P681">
        <v>752850</v>
      </c>
      <c r="Q681">
        <v>639922.5</v>
      </c>
      <c r="R681">
        <v>80662.5</v>
      </c>
      <c r="S681" s="22">
        <v>0.12605042016806722</v>
      </c>
      <c r="T681" t="str" cm="1">
        <f t="array" ref="T681">_xlfn.SWITCH(TRUE,data[[#This Row],[Profit Margin]]&lt;0,"Negative",data[[#This Row],[Profit Margin]]&lt;0.1,"Low",data[[#This Row],[Profit Margin]]&lt;0.2,"Medium","High")</f>
        <v>Medium</v>
      </c>
    </row>
    <row r="682" spans="1:20" x14ac:dyDescent="0.35">
      <c r="A682">
        <v>681</v>
      </c>
      <c r="B682" s="1" t="s">
        <v>31</v>
      </c>
      <c r="C682" s="1" t="s">
        <v>38</v>
      </c>
      <c r="D682" s="1" t="s">
        <v>39</v>
      </c>
      <c r="E682" s="1" t="s">
        <v>49</v>
      </c>
      <c r="F682">
        <v>914</v>
      </c>
      <c r="G682">
        <v>10</v>
      </c>
      <c r="H682">
        <v>12</v>
      </c>
      <c r="I682">
        <v>1645.2</v>
      </c>
      <c r="J682">
        <v>2742</v>
      </c>
      <c r="K682" s="2">
        <v>41974</v>
      </c>
      <c r="L682">
        <v>12</v>
      </c>
      <c r="M682" s="1" t="s">
        <v>28</v>
      </c>
      <c r="N682" s="1" t="s">
        <v>79</v>
      </c>
      <c r="O682">
        <v>2014</v>
      </c>
      <c r="P682">
        <v>10968</v>
      </c>
      <c r="Q682">
        <v>9322.7999999999993</v>
      </c>
      <c r="R682">
        <v>6580.7999999999993</v>
      </c>
      <c r="S682" s="22">
        <v>0.70588235294117641</v>
      </c>
      <c r="T682" t="str" cm="1">
        <f t="array" ref="T682">_xlfn.SWITCH(TRUE,data[[#This Row],[Profit Margin]]&lt;0,"Negative",data[[#This Row],[Profit Margin]]&lt;0.1,"Low",data[[#This Row],[Profit Margin]]&lt;0.2,"Medium","High")</f>
        <v>High</v>
      </c>
    </row>
    <row r="683" spans="1:20" x14ac:dyDescent="0.35">
      <c r="A683">
        <v>682</v>
      </c>
      <c r="B683" s="1" t="s">
        <v>18</v>
      </c>
      <c r="C683" s="1" t="s">
        <v>25</v>
      </c>
      <c r="D683" s="1" t="s">
        <v>39</v>
      </c>
      <c r="E683" s="1" t="s">
        <v>49</v>
      </c>
      <c r="F683">
        <v>293</v>
      </c>
      <c r="G683">
        <v>10</v>
      </c>
      <c r="H683">
        <v>20</v>
      </c>
      <c r="I683">
        <v>879</v>
      </c>
      <c r="J683">
        <v>2930</v>
      </c>
      <c r="K683" s="2">
        <v>41974</v>
      </c>
      <c r="L683">
        <v>12</v>
      </c>
      <c r="M683" s="1" t="s">
        <v>28</v>
      </c>
      <c r="N683" s="1" t="s">
        <v>79</v>
      </c>
      <c r="O683">
        <v>2014</v>
      </c>
      <c r="P683">
        <v>5860</v>
      </c>
      <c r="Q683">
        <v>4981</v>
      </c>
      <c r="R683">
        <v>2051</v>
      </c>
      <c r="S683" s="22">
        <v>0.41176470588235292</v>
      </c>
      <c r="T683" t="str" cm="1">
        <f t="array" ref="T683">_xlfn.SWITCH(TRUE,data[[#This Row],[Profit Margin]]&lt;0,"Negative",data[[#This Row],[Profit Margin]]&lt;0.1,"Low",data[[#This Row],[Profit Margin]]&lt;0.2,"Medium","High")</f>
        <v>High</v>
      </c>
    </row>
    <row r="684" spans="1:20" x14ac:dyDescent="0.35">
      <c r="A684">
        <v>683</v>
      </c>
      <c r="B684" s="1" t="s">
        <v>31</v>
      </c>
      <c r="C684" s="1" t="s">
        <v>27</v>
      </c>
      <c r="D684" s="1" t="s">
        <v>42</v>
      </c>
      <c r="E684" s="1" t="s">
        <v>49</v>
      </c>
      <c r="F684">
        <v>500</v>
      </c>
      <c r="G684">
        <v>120</v>
      </c>
      <c r="H684">
        <v>12</v>
      </c>
      <c r="I684">
        <v>900</v>
      </c>
      <c r="J684">
        <v>1500</v>
      </c>
      <c r="K684" s="2">
        <v>41699</v>
      </c>
      <c r="L684">
        <v>3</v>
      </c>
      <c r="M684" s="1" t="s">
        <v>30</v>
      </c>
      <c r="N684" s="1" t="s">
        <v>80</v>
      </c>
      <c r="O684">
        <v>2014</v>
      </c>
      <c r="P684">
        <v>6000</v>
      </c>
      <c r="Q684">
        <v>5100</v>
      </c>
      <c r="R684">
        <v>3600</v>
      </c>
      <c r="S684" s="22">
        <v>0.70588235294117652</v>
      </c>
      <c r="T684" t="str" cm="1">
        <f t="array" ref="T684">_xlfn.SWITCH(TRUE,data[[#This Row],[Profit Margin]]&lt;0,"Negative",data[[#This Row],[Profit Margin]]&lt;0.1,"Low",data[[#This Row],[Profit Margin]]&lt;0.2,"Medium","High")</f>
        <v>High</v>
      </c>
    </row>
    <row r="685" spans="1:20" x14ac:dyDescent="0.35">
      <c r="A685">
        <v>684</v>
      </c>
      <c r="B685" s="1" t="s">
        <v>24</v>
      </c>
      <c r="C685" s="1" t="s">
        <v>25</v>
      </c>
      <c r="D685" s="1" t="s">
        <v>42</v>
      </c>
      <c r="E685" s="1" t="s">
        <v>49</v>
      </c>
      <c r="F685">
        <v>2826</v>
      </c>
      <c r="G685">
        <v>120</v>
      </c>
      <c r="H685">
        <v>15</v>
      </c>
      <c r="I685">
        <v>6358.5</v>
      </c>
      <c r="J685">
        <v>28260</v>
      </c>
      <c r="K685" s="2">
        <v>41760</v>
      </c>
      <c r="L685">
        <v>5</v>
      </c>
      <c r="M685" s="1" t="s">
        <v>47</v>
      </c>
      <c r="N685" s="1" t="s">
        <v>47</v>
      </c>
      <c r="O685">
        <v>2014</v>
      </c>
      <c r="P685">
        <v>42390</v>
      </c>
      <c r="Q685">
        <v>36031.5</v>
      </c>
      <c r="R685">
        <v>7771.5</v>
      </c>
      <c r="S685" s="22">
        <v>0.21568627450980393</v>
      </c>
      <c r="T685" t="str" cm="1">
        <f t="array" ref="T685">_xlfn.SWITCH(TRUE,data[[#This Row],[Profit Margin]]&lt;0,"Negative",data[[#This Row],[Profit Margin]]&lt;0.1,"Low",data[[#This Row],[Profit Margin]]&lt;0.2,"Medium","High")</f>
        <v>High</v>
      </c>
    </row>
    <row r="686" spans="1:20" x14ac:dyDescent="0.35">
      <c r="A686">
        <v>685</v>
      </c>
      <c r="B686" s="1" t="s">
        <v>32</v>
      </c>
      <c r="C686" s="1" t="s">
        <v>25</v>
      </c>
      <c r="D686" s="1" t="s">
        <v>42</v>
      </c>
      <c r="E686" s="1" t="s">
        <v>49</v>
      </c>
      <c r="F686">
        <v>663</v>
      </c>
      <c r="G686">
        <v>120</v>
      </c>
      <c r="H686">
        <v>125</v>
      </c>
      <c r="I686">
        <v>12431.25</v>
      </c>
      <c r="J686">
        <v>79560</v>
      </c>
      <c r="K686" s="2">
        <v>41883</v>
      </c>
      <c r="L686">
        <v>9</v>
      </c>
      <c r="M686" s="1" t="s">
        <v>36</v>
      </c>
      <c r="N686" s="1" t="s">
        <v>83</v>
      </c>
      <c r="O686">
        <v>2014</v>
      </c>
      <c r="P686">
        <v>82875</v>
      </c>
      <c r="Q686">
        <v>70443.75</v>
      </c>
      <c r="R686">
        <v>-9116.25</v>
      </c>
      <c r="S686" s="22">
        <v>-0.12941176470588237</v>
      </c>
      <c r="T686" t="str" cm="1">
        <f t="array" ref="T686">_xlfn.SWITCH(TRUE,data[[#This Row],[Profit Margin]]&lt;0,"Negative",data[[#This Row],[Profit Margin]]&lt;0.1,"Low",data[[#This Row],[Profit Margin]]&lt;0.2,"Medium","High")</f>
        <v>Negative</v>
      </c>
    </row>
    <row r="687" spans="1:20" x14ac:dyDescent="0.35">
      <c r="A687">
        <v>686</v>
      </c>
      <c r="B687" s="1" t="s">
        <v>34</v>
      </c>
      <c r="C687" s="1" t="s">
        <v>38</v>
      </c>
      <c r="D687" s="1" t="s">
        <v>42</v>
      </c>
      <c r="E687" s="1" t="s">
        <v>49</v>
      </c>
      <c r="F687">
        <v>2574</v>
      </c>
      <c r="G687">
        <v>120</v>
      </c>
      <c r="H687">
        <v>300</v>
      </c>
      <c r="I687">
        <v>115830</v>
      </c>
      <c r="J687">
        <v>643500</v>
      </c>
      <c r="K687" s="2">
        <v>41579</v>
      </c>
      <c r="L687">
        <v>11</v>
      </c>
      <c r="M687" s="1" t="s">
        <v>41</v>
      </c>
      <c r="N687" s="1" t="s">
        <v>86</v>
      </c>
      <c r="O687">
        <v>2013</v>
      </c>
      <c r="P687">
        <v>772200</v>
      </c>
      <c r="Q687">
        <v>656370</v>
      </c>
      <c r="R687">
        <v>12870</v>
      </c>
      <c r="S687" s="22">
        <v>1.9607843137254902E-2</v>
      </c>
      <c r="T687" t="str" cm="1">
        <f t="array" ref="T687">_xlfn.SWITCH(TRUE,data[[#This Row],[Profit Margin]]&lt;0,"Negative",data[[#This Row],[Profit Margin]]&lt;0.1,"Low",data[[#This Row],[Profit Margin]]&lt;0.2,"Medium","High")</f>
        <v>Low</v>
      </c>
    </row>
    <row r="688" spans="1:20" x14ac:dyDescent="0.35">
      <c r="A688">
        <v>687</v>
      </c>
      <c r="B688" s="1" t="s">
        <v>32</v>
      </c>
      <c r="C688" s="1" t="s">
        <v>38</v>
      </c>
      <c r="D688" s="1" t="s">
        <v>42</v>
      </c>
      <c r="E688" s="1" t="s">
        <v>49</v>
      </c>
      <c r="F688">
        <v>2438</v>
      </c>
      <c r="G688">
        <v>120</v>
      </c>
      <c r="H688">
        <v>125</v>
      </c>
      <c r="I688">
        <v>45712.5</v>
      </c>
      <c r="J688">
        <v>292560</v>
      </c>
      <c r="K688" s="2">
        <v>41609</v>
      </c>
      <c r="L688">
        <v>12</v>
      </c>
      <c r="M688" s="1" t="s">
        <v>28</v>
      </c>
      <c r="N688" s="1" t="s">
        <v>79</v>
      </c>
      <c r="O688">
        <v>2013</v>
      </c>
      <c r="P688">
        <v>304750</v>
      </c>
      <c r="Q688">
        <v>259037.5</v>
      </c>
      <c r="R688">
        <v>-33522.5</v>
      </c>
      <c r="S688" s="22">
        <v>-0.12941176470588237</v>
      </c>
      <c r="T688" t="str" cm="1">
        <f t="array" ref="T688">_xlfn.SWITCH(TRUE,data[[#This Row],[Profit Margin]]&lt;0,"Negative",data[[#This Row],[Profit Margin]]&lt;0.1,"Low",data[[#This Row],[Profit Margin]]&lt;0.2,"Medium","High")</f>
        <v>Negative</v>
      </c>
    </row>
    <row r="689" spans="1:20" x14ac:dyDescent="0.35">
      <c r="A689">
        <v>688</v>
      </c>
      <c r="B689" s="1" t="s">
        <v>31</v>
      </c>
      <c r="C689" s="1" t="s">
        <v>38</v>
      </c>
      <c r="D689" s="1" t="s">
        <v>42</v>
      </c>
      <c r="E689" s="1" t="s">
        <v>49</v>
      </c>
      <c r="F689">
        <v>914</v>
      </c>
      <c r="G689">
        <v>120</v>
      </c>
      <c r="H689">
        <v>12</v>
      </c>
      <c r="I689">
        <v>1645.2</v>
      </c>
      <c r="J689">
        <v>2742</v>
      </c>
      <c r="K689" s="2">
        <v>41974</v>
      </c>
      <c r="L689">
        <v>12</v>
      </c>
      <c r="M689" s="1" t="s">
        <v>28</v>
      </c>
      <c r="N689" s="1" t="s">
        <v>79</v>
      </c>
      <c r="O689">
        <v>2014</v>
      </c>
      <c r="P689">
        <v>10968</v>
      </c>
      <c r="Q689">
        <v>9322.7999999999993</v>
      </c>
      <c r="R689">
        <v>6580.7999999999993</v>
      </c>
      <c r="S689" s="22">
        <v>0.70588235294117641</v>
      </c>
      <c r="T689" t="str" cm="1">
        <f t="array" ref="T689">_xlfn.SWITCH(TRUE,data[[#This Row],[Profit Margin]]&lt;0,"Negative",data[[#This Row],[Profit Margin]]&lt;0.1,"Low",data[[#This Row],[Profit Margin]]&lt;0.2,"Medium","High")</f>
        <v>High</v>
      </c>
    </row>
    <row r="690" spans="1:20" x14ac:dyDescent="0.35">
      <c r="A690">
        <v>689</v>
      </c>
      <c r="B690" s="1" t="s">
        <v>18</v>
      </c>
      <c r="C690" s="1" t="s">
        <v>19</v>
      </c>
      <c r="D690" s="1" t="s">
        <v>43</v>
      </c>
      <c r="E690" s="1" t="s">
        <v>49</v>
      </c>
      <c r="F690">
        <v>865.5</v>
      </c>
      <c r="G690">
        <v>250</v>
      </c>
      <c r="H690">
        <v>20</v>
      </c>
      <c r="I690">
        <v>2596.5</v>
      </c>
      <c r="J690">
        <v>8655</v>
      </c>
      <c r="K690" s="2">
        <v>41821</v>
      </c>
      <c r="L690">
        <v>7</v>
      </c>
      <c r="M690" s="1" t="s">
        <v>33</v>
      </c>
      <c r="N690" s="1" t="s">
        <v>81</v>
      </c>
      <c r="O690">
        <v>2014</v>
      </c>
      <c r="P690">
        <v>17310</v>
      </c>
      <c r="Q690">
        <v>14713.5</v>
      </c>
      <c r="R690">
        <v>6058.5</v>
      </c>
      <c r="S690" s="22">
        <v>0.41176470588235292</v>
      </c>
      <c r="T690" t="str" cm="1">
        <f t="array" ref="T690">_xlfn.SWITCH(TRUE,data[[#This Row],[Profit Margin]]&lt;0,"Negative",data[[#This Row],[Profit Margin]]&lt;0.1,"Low",data[[#This Row],[Profit Margin]]&lt;0.2,"Medium","High")</f>
        <v>High</v>
      </c>
    </row>
    <row r="691" spans="1:20" x14ac:dyDescent="0.35">
      <c r="A691">
        <v>690</v>
      </c>
      <c r="B691" s="1" t="s">
        <v>24</v>
      </c>
      <c r="C691" s="1" t="s">
        <v>23</v>
      </c>
      <c r="D691" s="1" t="s">
        <v>43</v>
      </c>
      <c r="E691" s="1" t="s">
        <v>49</v>
      </c>
      <c r="F691">
        <v>492</v>
      </c>
      <c r="G691">
        <v>250</v>
      </c>
      <c r="H691">
        <v>15</v>
      </c>
      <c r="I691">
        <v>1107</v>
      </c>
      <c r="J691">
        <v>4920</v>
      </c>
      <c r="K691" s="2">
        <v>41821</v>
      </c>
      <c r="L691">
        <v>7</v>
      </c>
      <c r="M691" s="1" t="s">
        <v>33</v>
      </c>
      <c r="N691" s="1" t="s">
        <v>81</v>
      </c>
      <c r="O691">
        <v>2014</v>
      </c>
      <c r="P691">
        <v>7380</v>
      </c>
      <c r="Q691">
        <v>6273</v>
      </c>
      <c r="R691">
        <v>1353</v>
      </c>
      <c r="S691" s="22">
        <v>0.21568627450980393</v>
      </c>
      <c r="T691" t="str" cm="1">
        <f t="array" ref="T691">_xlfn.SWITCH(TRUE,data[[#This Row],[Profit Margin]]&lt;0,"Negative",data[[#This Row],[Profit Margin]]&lt;0.1,"Low",data[[#This Row],[Profit Margin]]&lt;0.2,"Medium","High")</f>
        <v>High</v>
      </c>
    </row>
    <row r="692" spans="1:20" x14ac:dyDescent="0.35">
      <c r="A692">
        <v>691</v>
      </c>
      <c r="B692" s="1" t="s">
        <v>18</v>
      </c>
      <c r="C692" s="1" t="s">
        <v>38</v>
      </c>
      <c r="D692" s="1" t="s">
        <v>43</v>
      </c>
      <c r="E692" s="1" t="s">
        <v>49</v>
      </c>
      <c r="F692">
        <v>267</v>
      </c>
      <c r="G692">
        <v>250</v>
      </c>
      <c r="H692">
        <v>20</v>
      </c>
      <c r="I692">
        <v>801</v>
      </c>
      <c r="J692">
        <v>2670</v>
      </c>
      <c r="K692" s="2">
        <v>41548</v>
      </c>
      <c r="L692">
        <v>10</v>
      </c>
      <c r="M692" s="1" t="s">
        <v>37</v>
      </c>
      <c r="N692" s="1" t="s">
        <v>84</v>
      </c>
      <c r="O692">
        <v>2013</v>
      </c>
      <c r="P692">
        <v>5340</v>
      </c>
      <c r="Q692">
        <v>4539</v>
      </c>
      <c r="R692">
        <v>1869</v>
      </c>
      <c r="S692" s="22">
        <v>0.41176470588235292</v>
      </c>
      <c r="T692" t="str" cm="1">
        <f t="array" ref="T692">_xlfn.SWITCH(TRUE,data[[#This Row],[Profit Margin]]&lt;0,"Negative",data[[#This Row],[Profit Margin]]&lt;0.1,"Low",data[[#This Row],[Profit Margin]]&lt;0.2,"Medium","High")</f>
        <v>High</v>
      </c>
    </row>
    <row r="693" spans="1:20" x14ac:dyDescent="0.35">
      <c r="A693">
        <v>692</v>
      </c>
      <c r="B693" s="1" t="s">
        <v>24</v>
      </c>
      <c r="C693" s="1" t="s">
        <v>23</v>
      </c>
      <c r="D693" s="1" t="s">
        <v>43</v>
      </c>
      <c r="E693" s="1" t="s">
        <v>49</v>
      </c>
      <c r="F693">
        <v>1175</v>
      </c>
      <c r="G693">
        <v>250</v>
      </c>
      <c r="H693">
        <v>15</v>
      </c>
      <c r="I693">
        <v>2643.75</v>
      </c>
      <c r="J693">
        <v>11750</v>
      </c>
      <c r="K693" s="2">
        <v>41913</v>
      </c>
      <c r="L693">
        <v>10</v>
      </c>
      <c r="M693" s="1" t="s">
        <v>37</v>
      </c>
      <c r="N693" s="1" t="s">
        <v>84</v>
      </c>
      <c r="O693">
        <v>2014</v>
      </c>
      <c r="P693">
        <v>17625</v>
      </c>
      <c r="Q693">
        <v>14981.25</v>
      </c>
      <c r="R693">
        <v>3231.25</v>
      </c>
      <c r="S693" s="22">
        <v>0.21568627450980393</v>
      </c>
      <c r="T693" t="str" cm="1">
        <f t="array" ref="T693">_xlfn.SWITCH(TRUE,data[[#This Row],[Profit Margin]]&lt;0,"Negative",data[[#This Row],[Profit Margin]]&lt;0.1,"Low",data[[#This Row],[Profit Margin]]&lt;0.2,"Medium","High")</f>
        <v>High</v>
      </c>
    </row>
    <row r="694" spans="1:20" x14ac:dyDescent="0.35">
      <c r="A694">
        <v>693</v>
      </c>
      <c r="B694" s="1" t="s">
        <v>32</v>
      </c>
      <c r="C694" s="1" t="s">
        <v>19</v>
      </c>
      <c r="D694" s="1" t="s">
        <v>43</v>
      </c>
      <c r="E694" s="1" t="s">
        <v>49</v>
      </c>
      <c r="F694">
        <v>2954</v>
      </c>
      <c r="G694">
        <v>250</v>
      </c>
      <c r="H694">
        <v>125</v>
      </c>
      <c r="I694">
        <v>55387.5</v>
      </c>
      <c r="J694">
        <v>354480</v>
      </c>
      <c r="K694" s="2">
        <v>41579</v>
      </c>
      <c r="L694">
        <v>11</v>
      </c>
      <c r="M694" s="1" t="s">
        <v>41</v>
      </c>
      <c r="N694" s="1" t="s">
        <v>86</v>
      </c>
      <c r="O694">
        <v>2013</v>
      </c>
      <c r="P694">
        <v>369250</v>
      </c>
      <c r="Q694">
        <v>313862.5</v>
      </c>
      <c r="R694">
        <v>-40617.5</v>
      </c>
      <c r="S694" s="22">
        <v>-0.12941176470588237</v>
      </c>
      <c r="T694" t="str" cm="1">
        <f t="array" ref="T694">_xlfn.SWITCH(TRUE,data[[#This Row],[Profit Margin]]&lt;0,"Negative",data[[#This Row],[Profit Margin]]&lt;0.1,"Low",data[[#This Row],[Profit Margin]]&lt;0.2,"Medium","High")</f>
        <v>Negative</v>
      </c>
    </row>
    <row r="695" spans="1:20" x14ac:dyDescent="0.35">
      <c r="A695">
        <v>694</v>
      </c>
      <c r="B695" s="1" t="s">
        <v>32</v>
      </c>
      <c r="C695" s="1" t="s">
        <v>23</v>
      </c>
      <c r="D695" s="1" t="s">
        <v>43</v>
      </c>
      <c r="E695" s="1" t="s">
        <v>49</v>
      </c>
      <c r="F695">
        <v>552</v>
      </c>
      <c r="G695">
        <v>250</v>
      </c>
      <c r="H695">
        <v>125</v>
      </c>
      <c r="I695">
        <v>10350</v>
      </c>
      <c r="J695">
        <v>66240</v>
      </c>
      <c r="K695" s="2">
        <v>41944</v>
      </c>
      <c r="L695">
        <v>11</v>
      </c>
      <c r="M695" s="1" t="s">
        <v>41</v>
      </c>
      <c r="N695" s="1" t="s">
        <v>86</v>
      </c>
      <c r="O695">
        <v>2014</v>
      </c>
      <c r="P695">
        <v>69000</v>
      </c>
      <c r="Q695">
        <v>58650</v>
      </c>
      <c r="R695">
        <v>-7590</v>
      </c>
      <c r="S695" s="22">
        <v>-0.12941176470588237</v>
      </c>
      <c r="T695" t="str" cm="1">
        <f t="array" ref="T695">_xlfn.SWITCH(TRUE,data[[#This Row],[Profit Margin]]&lt;0,"Negative",data[[#This Row],[Profit Margin]]&lt;0.1,"Low",data[[#This Row],[Profit Margin]]&lt;0.2,"Medium","High")</f>
        <v>Negative</v>
      </c>
    </row>
    <row r="696" spans="1:20" x14ac:dyDescent="0.35">
      <c r="A696">
        <v>695</v>
      </c>
      <c r="B696" s="1" t="s">
        <v>18</v>
      </c>
      <c r="C696" s="1" t="s">
        <v>25</v>
      </c>
      <c r="D696" s="1" t="s">
        <v>43</v>
      </c>
      <c r="E696" s="1" t="s">
        <v>49</v>
      </c>
      <c r="F696">
        <v>293</v>
      </c>
      <c r="G696">
        <v>250</v>
      </c>
      <c r="H696">
        <v>20</v>
      </c>
      <c r="I696">
        <v>879</v>
      </c>
      <c r="J696">
        <v>2930</v>
      </c>
      <c r="K696" s="2">
        <v>41974</v>
      </c>
      <c r="L696">
        <v>12</v>
      </c>
      <c r="M696" s="1" t="s">
        <v>28</v>
      </c>
      <c r="N696" s="1" t="s">
        <v>79</v>
      </c>
      <c r="O696">
        <v>2014</v>
      </c>
      <c r="P696">
        <v>5860</v>
      </c>
      <c r="Q696">
        <v>4981</v>
      </c>
      <c r="R696">
        <v>2051</v>
      </c>
      <c r="S696" s="22">
        <v>0.41176470588235292</v>
      </c>
      <c r="T696" t="str" cm="1">
        <f t="array" ref="T696">_xlfn.SWITCH(TRUE,data[[#This Row],[Profit Margin]]&lt;0,"Negative",data[[#This Row],[Profit Margin]]&lt;0.1,"Low",data[[#This Row],[Profit Margin]]&lt;0.2,"Medium","High")</f>
        <v>High</v>
      </c>
    </row>
    <row r="697" spans="1:20" x14ac:dyDescent="0.35">
      <c r="A697">
        <v>696</v>
      </c>
      <c r="B697" s="1" t="s">
        <v>34</v>
      </c>
      <c r="C697" s="1" t="s">
        <v>25</v>
      </c>
      <c r="D697" s="1" t="s">
        <v>45</v>
      </c>
      <c r="E697" s="1" t="s">
        <v>49</v>
      </c>
      <c r="F697">
        <v>2475</v>
      </c>
      <c r="G697">
        <v>260</v>
      </c>
      <c r="H697">
        <v>300</v>
      </c>
      <c r="I697">
        <v>111375</v>
      </c>
      <c r="J697">
        <v>618750</v>
      </c>
      <c r="K697" s="2">
        <v>41699</v>
      </c>
      <c r="L697">
        <v>3</v>
      </c>
      <c r="M697" s="1" t="s">
        <v>30</v>
      </c>
      <c r="N697" s="1" t="s">
        <v>80</v>
      </c>
      <c r="O697">
        <v>2014</v>
      </c>
      <c r="P697">
        <v>742500</v>
      </c>
      <c r="Q697">
        <v>631125</v>
      </c>
      <c r="R697">
        <v>12375</v>
      </c>
      <c r="S697" s="22">
        <v>1.9607843137254902E-2</v>
      </c>
      <c r="T697" t="str" cm="1">
        <f t="array" ref="T697">_xlfn.SWITCH(TRUE,data[[#This Row],[Profit Margin]]&lt;0,"Negative",data[[#This Row],[Profit Margin]]&lt;0.1,"Low",data[[#This Row],[Profit Margin]]&lt;0.2,"Medium","High")</f>
        <v>Low</v>
      </c>
    </row>
    <row r="698" spans="1:20" x14ac:dyDescent="0.35">
      <c r="A698">
        <v>697</v>
      </c>
      <c r="B698" s="1" t="s">
        <v>34</v>
      </c>
      <c r="C698" s="1" t="s">
        <v>27</v>
      </c>
      <c r="D698" s="1" t="s">
        <v>45</v>
      </c>
      <c r="E698" s="1" t="s">
        <v>49</v>
      </c>
      <c r="F698">
        <v>546</v>
      </c>
      <c r="G698">
        <v>260</v>
      </c>
      <c r="H698">
        <v>300</v>
      </c>
      <c r="I698">
        <v>24570</v>
      </c>
      <c r="J698">
        <v>136500</v>
      </c>
      <c r="K698" s="2">
        <v>41913</v>
      </c>
      <c r="L698">
        <v>10</v>
      </c>
      <c r="M698" s="1" t="s">
        <v>37</v>
      </c>
      <c r="N698" s="1" t="s">
        <v>84</v>
      </c>
      <c r="O698">
        <v>2014</v>
      </c>
      <c r="P698">
        <v>163800</v>
      </c>
      <c r="Q698">
        <v>139230</v>
      </c>
      <c r="R698">
        <v>2730</v>
      </c>
      <c r="S698" s="22">
        <v>1.9607843137254902E-2</v>
      </c>
      <c r="T698" t="str" cm="1">
        <f t="array" ref="T698">_xlfn.SWITCH(TRUE,data[[#This Row],[Profit Margin]]&lt;0,"Negative",data[[#This Row],[Profit Margin]]&lt;0.1,"Low",data[[#This Row],[Profit Margin]]&lt;0.2,"Medium","High")</f>
        <v>Low</v>
      </c>
    </row>
    <row r="699" spans="1:20" x14ac:dyDescent="0.35">
      <c r="A699">
        <v>698</v>
      </c>
      <c r="B699" s="1" t="s">
        <v>18</v>
      </c>
      <c r="C699" s="1" t="s">
        <v>27</v>
      </c>
      <c r="D699" s="1" t="s">
        <v>29</v>
      </c>
      <c r="E699" s="1" t="s">
        <v>49</v>
      </c>
      <c r="F699">
        <v>1368</v>
      </c>
      <c r="G699">
        <v>5</v>
      </c>
      <c r="H699">
        <v>7</v>
      </c>
      <c r="I699">
        <v>1436.4</v>
      </c>
      <c r="J699">
        <v>6840</v>
      </c>
      <c r="K699" s="2">
        <v>41671</v>
      </c>
      <c r="L699">
        <v>2</v>
      </c>
      <c r="M699" s="1" t="s">
        <v>40</v>
      </c>
      <c r="N699" s="1" t="s">
        <v>85</v>
      </c>
      <c r="O699">
        <v>2014</v>
      </c>
      <c r="P699">
        <v>9576</v>
      </c>
      <c r="Q699">
        <v>8139.6</v>
      </c>
      <c r="R699">
        <v>1299.6000000000004</v>
      </c>
      <c r="S699" s="22">
        <v>0.15966386554621853</v>
      </c>
      <c r="T699" t="str" cm="1">
        <f t="array" ref="T699">_xlfn.SWITCH(TRUE,data[[#This Row],[Profit Margin]]&lt;0,"Negative",data[[#This Row],[Profit Margin]]&lt;0.1,"Low",data[[#This Row],[Profit Margin]]&lt;0.2,"Medium","High")</f>
        <v>Medium</v>
      </c>
    </row>
    <row r="700" spans="1:20" x14ac:dyDescent="0.35">
      <c r="A700">
        <v>699</v>
      </c>
      <c r="B700" s="1" t="s">
        <v>18</v>
      </c>
      <c r="C700" s="1" t="s">
        <v>19</v>
      </c>
      <c r="D700" s="1" t="s">
        <v>39</v>
      </c>
      <c r="E700" s="1" t="s">
        <v>49</v>
      </c>
      <c r="F700">
        <v>723</v>
      </c>
      <c r="G700">
        <v>10</v>
      </c>
      <c r="H700">
        <v>7</v>
      </c>
      <c r="I700">
        <v>759.15000000000009</v>
      </c>
      <c r="J700">
        <v>3615</v>
      </c>
      <c r="K700" s="2">
        <v>41730</v>
      </c>
      <c r="L700">
        <v>4</v>
      </c>
      <c r="M700" s="1" t="s">
        <v>44</v>
      </c>
      <c r="N700" s="1" t="s">
        <v>87</v>
      </c>
      <c r="O700">
        <v>2014</v>
      </c>
      <c r="P700">
        <v>5061</v>
      </c>
      <c r="Q700">
        <v>4301.8500000000004</v>
      </c>
      <c r="R700">
        <v>686.85000000000036</v>
      </c>
      <c r="S700" s="22">
        <v>0.15966386554621856</v>
      </c>
      <c r="T700" t="str" cm="1">
        <f t="array" ref="T700">_xlfn.SWITCH(TRUE,data[[#This Row],[Profit Margin]]&lt;0,"Negative",data[[#This Row],[Profit Margin]]&lt;0.1,"Low",data[[#This Row],[Profit Margin]]&lt;0.2,"Medium","High")</f>
        <v>Medium</v>
      </c>
    </row>
    <row r="701" spans="1:20" x14ac:dyDescent="0.35">
      <c r="A701">
        <v>700</v>
      </c>
      <c r="B701" s="1" t="s">
        <v>31</v>
      </c>
      <c r="C701" s="1" t="s">
        <v>38</v>
      </c>
      <c r="D701" s="1" t="s">
        <v>43</v>
      </c>
      <c r="E701" s="1" t="s">
        <v>49</v>
      </c>
      <c r="F701">
        <v>1806</v>
      </c>
      <c r="G701">
        <v>250</v>
      </c>
      <c r="H701">
        <v>12</v>
      </c>
      <c r="I701">
        <v>3250.8</v>
      </c>
      <c r="J701">
        <v>5418</v>
      </c>
      <c r="K701" s="2">
        <v>41760</v>
      </c>
      <c r="L701">
        <v>5</v>
      </c>
      <c r="M701" s="1" t="s">
        <v>47</v>
      </c>
      <c r="N701" s="1" t="s">
        <v>47</v>
      </c>
      <c r="O701">
        <v>2014</v>
      </c>
      <c r="P701">
        <v>21672</v>
      </c>
      <c r="Q701">
        <v>18421.2</v>
      </c>
      <c r="R701">
        <v>13003.2</v>
      </c>
      <c r="S701" s="22">
        <v>0.70588235294117652</v>
      </c>
      <c r="T701" t="str" cm="1">
        <f t="array" ref="T701">_xlfn.SWITCH(TRUE,data[[#This Row],[Profit Margin]]&lt;0,"Negative",data[[#This Row],[Profit Margin]]&lt;0.1,"Low",data[[#This Row],[Profit Margin]]&lt;0.2,"Medium","High")</f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BBD7-15CA-4F47-9B6B-C3753346CBED}">
  <dimension ref="B2:AQ72"/>
  <sheetViews>
    <sheetView showGridLines="0" zoomScale="85" zoomScaleNormal="85" workbookViewId="0"/>
  </sheetViews>
  <sheetFormatPr defaultRowHeight="14.5" x14ac:dyDescent="0.35"/>
  <cols>
    <col min="2" max="2" width="15.26953125" bestFit="1" customWidth="1"/>
    <col min="3" max="3" width="12.81640625" bestFit="1" customWidth="1"/>
    <col min="4" max="4" width="10" bestFit="1" customWidth="1"/>
    <col min="5" max="5" width="15.81640625" bestFit="1" customWidth="1"/>
    <col min="6" max="6" width="18.7265625" bestFit="1" customWidth="1"/>
    <col min="7" max="7" width="4.26953125" style="3" customWidth="1"/>
    <col min="10" max="10" width="15.1796875" bestFit="1" customWidth="1"/>
    <col min="11" max="11" width="9" bestFit="1" customWidth="1"/>
    <col min="12" max="12" width="12.81640625" bestFit="1" customWidth="1"/>
    <col min="13" max="13" width="13" bestFit="1" customWidth="1"/>
    <col min="14" max="14" width="12.7265625" bestFit="1" customWidth="1"/>
    <col min="15" max="16" width="10" bestFit="1" customWidth="1"/>
    <col min="18" max="18" width="3.7265625" style="9" customWidth="1"/>
    <col min="20" max="20" width="15.1796875" bestFit="1" customWidth="1"/>
    <col min="21" max="23" width="13" bestFit="1" customWidth="1"/>
    <col min="24" max="24" width="11.1796875" bestFit="1" customWidth="1"/>
    <col min="28" max="28" width="4.81640625" style="9" customWidth="1"/>
    <col min="30" max="30" width="14.54296875" bestFit="1" customWidth="1"/>
    <col min="31" max="31" width="10.26953125" bestFit="1" customWidth="1"/>
    <col min="32" max="32" width="11.6328125" bestFit="1" customWidth="1"/>
    <col min="33" max="33" width="12.7265625" bestFit="1" customWidth="1"/>
    <col min="34" max="34" width="12.7265625" customWidth="1"/>
    <col min="35" max="35" width="12.1796875" bestFit="1" customWidth="1"/>
    <col min="39" max="39" width="14.453125" customWidth="1"/>
    <col min="40" max="40" width="11.81640625" bestFit="1" customWidth="1"/>
    <col min="41" max="42" width="12.7265625" bestFit="1" customWidth="1"/>
    <col min="43" max="43" width="12.6328125" bestFit="1" customWidth="1"/>
  </cols>
  <sheetData>
    <row r="2" spans="2:43" ht="15.5" x14ac:dyDescent="0.35">
      <c r="B2" s="32" t="s">
        <v>63</v>
      </c>
      <c r="C2" s="32"/>
      <c r="D2" s="32"/>
      <c r="AE2" s="32" t="s">
        <v>65</v>
      </c>
      <c r="AF2" s="32"/>
      <c r="AG2" s="32"/>
      <c r="AH2" s="32"/>
    </row>
    <row r="4" spans="2:43" x14ac:dyDescent="0.35">
      <c r="B4" s="6" t="s">
        <v>50</v>
      </c>
      <c r="C4" s="6" t="s">
        <v>51</v>
      </c>
      <c r="D4" s="6" t="s">
        <v>52</v>
      </c>
      <c r="E4" s="6" t="s">
        <v>61</v>
      </c>
    </row>
    <row r="5" spans="2:43" x14ac:dyDescent="0.35">
      <c r="B5" s="17">
        <v>118726350.25999992</v>
      </c>
      <c r="C5" s="17">
        <v>16893702.260000009</v>
      </c>
      <c r="D5" s="7">
        <v>0.14229109395685402</v>
      </c>
      <c r="E5" s="19">
        <v>1125806</v>
      </c>
      <c r="J5" s="8" t="s">
        <v>55</v>
      </c>
      <c r="T5" s="8" t="s">
        <v>92</v>
      </c>
      <c r="AD5" s="8" t="s">
        <v>55</v>
      </c>
      <c r="AL5" s="8" t="s">
        <v>69</v>
      </c>
    </row>
    <row r="6" spans="2:43" x14ac:dyDescent="0.35">
      <c r="J6" s="5" t="s">
        <v>13</v>
      </c>
      <c r="K6" s="5" t="s">
        <v>88</v>
      </c>
      <c r="L6" s="6" t="s">
        <v>53</v>
      </c>
      <c r="T6" s="5" t="s">
        <v>3</v>
      </c>
      <c r="U6" s="6" t="s">
        <v>91</v>
      </c>
      <c r="AD6" s="5" t="s">
        <v>13</v>
      </c>
      <c r="AE6" s="5" t="s">
        <v>88</v>
      </c>
      <c r="AF6" s="6" t="s">
        <v>53</v>
      </c>
      <c r="AH6" s="12" t="s">
        <v>10</v>
      </c>
      <c r="AI6" s="12" t="s">
        <v>64</v>
      </c>
      <c r="AL6" s="12" t="s">
        <v>10</v>
      </c>
      <c r="AM6" s="12" t="s">
        <v>64</v>
      </c>
      <c r="AO6" s="12" t="s">
        <v>66</v>
      </c>
      <c r="AP6" s="12" t="s">
        <v>67</v>
      </c>
      <c r="AQ6" s="12" t="s">
        <v>68</v>
      </c>
    </row>
    <row r="7" spans="2:43" x14ac:dyDescent="0.35">
      <c r="J7" s="6">
        <v>2014</v>
      </c>
      <c r="K7" s="6" t="s">
        <v>77</v>
      </c>
      <c r="L7" s="17">
        <v>6607761.6799999997</v>
      </c>
      <c r="T7" s="6" t="s">
        <v>45</v>
      </c>
      <c r="U7" s="7">
        <v>0.15856683702782975</v>
      </c>
      <c r="W7" s="26">
        <f>MIN(U7:U12)</f>
        <v>0.12635533979614899</v>
      </c>
      <c r="AD7" s="6">
        <v>2014</v>
      </c>
      <c r="AE7" s="6" t="s">
        <v>77</v>
      </c>
      <c r="AF7" s="17">
        <v>6607761.6799999997</v>
      </c>
      <c r="AH7" s="14">
        <v>41640</v>
      </c>
      <c r="AI7" s="17">
        <v>6607761.6799999997</v>
      </c>
      <c r="AL7" s="13">
        <v>42005</v>
      </c>
      <c r="AM7" s="17">
        <f>_xlfn.FORECAST.ETS(AL7,$AI$7:$AI$18,$AH$7:$AH$18)</f>
        <v>8810030.5911185481</v>
      </c>
      <c r="AO7" s="6">
        <f t="shared" ref="AO7:AO12" si="0">_xlfn.FORECAST.ETS.CONFINT(AL7,$AI$7:$AI$22,$AH$7:$AH$22)</f>
        <v>3808907.0792703996</v>
      </c>
      <c r="AP7" s="6">
        <f>AM7+AO7</f>
        <v>12618937.670388948</v>
      </c>
      <c r="AQ7" s="6">
        <f>AM7-AO7</f>
        <v>5001123.511848148</v>
      </c>
    </row>
    <row r="8" spans="2:43" x14ac:dyDescent="0.35">
      <c r="J8" s="6"/>
      <c r="K8" s="6" t="s">
        <v>85</v>
      </c>
      <c r="L8" s="17">
        <v>7297531.3900000015</v>
      </c>
      <c r="T8" s="6" t="s">
        <v>20</v>
      </c>
      <c r="U8" s="7">
        <v>0.13223048666063075</v>
      </c>
      <c r="W8" s="26" t="str">
        <f>_xlfn.CONCAT(_xlfn.XLOOKUP(W7,U6:U12,T6:T12),":")</f>
        <v>Velo:</v>
      </c>
      <c r="AD8" s="6"/>
      <c r="AE8" s="6" t="s">
        <v>85</v>
      </c>
      <c r="AF8" s="17">
        <v>7297531.3900000015</v>
      </c>
      <c r="AH8" s="14">
        <v>41671</v>
      </c>
      <c r="AI8" s="17">
        <v>7297531.3900000015</v>
      </c>
      <c r="AL8" s="13">
        <v>42036</v>
      </c>
      <c r="AM8" s="17">
        <f t="shared" ref="AM8:AM12" si="1">_xlfn.FORECAST.ETS(AL8,$AI$7:$AI$18,$AH$7:$AH$18)</f>
        <v>10669659.85703495</v>
      </c>
      <c r="AO8" s="6">
        <f t="shared" si="0"/>
        <v>3839501.140964448</v>
      </c>
      <c r="AP8" s="6">
        <f t="shared" ref="AP8:AP12" si="2">AM8+AO8</f>
        <v>14509160.997999398</v>
      </c>
      <c r="AQ8" s="6">
        <f t="shared" ref="AQ8:AQ12" si="3">AM8-AO8</f>
        <v>6830158.7160705011</v>
      </c>
    </row>
    <row r="9" spans="2:43" x14ac:dyDescent="0.35">
      <c r="B9" s="5" t="s">
        <v>89</v>
      </c>
      <c r="C9" s="6" t="s">
        <v>50</v>
      </c>
      <c r="J9" s="6"/>
      <c r="K9" s="6" t="s">
        <v>80</v>
      </c>
      <c r="L9" s="17">
        <v>5586859.8699999982</v>
      </c>
      <c r="T9" s="6" t="s">
        <v>29</v>
      </c>
      <c r="U9" s="7">
        <v>0.13740381407599545</v>
      </c>
      <c r="AD9" s="6"/>
      <c r="AE9" s="6" t="s">
        <v>80</v>
      </c>
      <c r="AF9" s="17">
        <v>5586859.8699999982</v>
      </c>
      <c r="AH9" s="14">
        <v>41699</v>
      </c>
      <c r="AI9" s="17">
        <v>5586859.8699999982</v>
      </c>
      <c r="AL9" s="13">
        <v>42064</v>
      </c>
      <c r="AM9" s="17">
        <f t="shared" si="1"/>
        <v>9318801.908024272</v>
      </c>
      <c r="AO9" s="6">
        <f t="shared" si="0"/>
        <v>3870812.9461736255</v>
      </c>
      <c r="AP9" s="6">
        <f t="shared" si="2"/>
        <v>13189614.854197897</v>
      </c>
      <c r="AQ9" s="6">
        <f t="shared" si="3"/>
        <v>5447988.9618506469</v>
      </c>
    </row>
    <row r="10" spans="2:43" x14ac:dyDescent="0.35">
      <c r="B10" s="18" t="s">
        <v>22</v>
      </c>
      <c r="C10" s="17">
        <v>6607761.6800000006</v>
      </c>
      <c r="J10" s="6"/>
      <c r="K10" s="6" t="s">
        <v>87</v>
      </c>
      <c r="L10" s="17">
        <v>6964775.0700000012</v>
      </c>
      <c r="T10" s="6" t="s">
        <v>39</v>
      </c>
      <c r="U10" s="7">
        <v>0.14532783102780047</v>
      </c>
      <c r="AD10" s="6"/>
      <c r="AE10" s="6" t="s">
        <v>87</v>
      </c>
      <c r="AF10" s="17">
        <v>6964775.0700000012</v>
      </c>
      <c r="AH10" s="14">
        <v>41730</v>
      </c>
      <c r="AI10" s="17">
        <v>6964775.0700000012</v>
      </c>
      <c r="AL10" s="13">
        <v>42095</v>
      </c>
      <c r="AM10" s="17">
        <f t="shared" si="1"/>
        <v>11178431.173940673</v>
      </c>
      <c r="AO10" s="6">
        <f t="shared" si="0"/>
        <v>3901873.4880904825</v>
      </c>
      <c r="AP10" s="6">
        <f t="shared" si="2"/>
        <v>15080304.662031155</v>
      </c>
      <c r="AQ10" s="6">
        <f t="shared" si="3"/>
        <v>7276557.6858501909</v>
      </c>
    </row>
    <row r="11" spans="2:43" x14ac:dyDescent="0.35">
      <c r="B11" s="18" t="s">
        <v>40</v>
      </c>
      <c r="C11" s="17">
        <v>7297531.3900000006</v>
      </c>
      <c r="J11" s="6"/>
      <c r="K11" s="6" t="s">
        <v>47</v>
      </c>
      <c r="L11" s="17">
        <v>6210211.0599999987</v>
      </c>
      <c r="T11" s="6" t="s">
        <v>42</v>
      </c>
      <c r="U11" s="7">
        <v>0.12635533979614899</v>
      </c>
      <c r="AD11" s="6"/>
      <c r="AE11" s="6" t="s">
        <v>47</v>
      </c>
      <c r="AF11" s="17">
        <v>6210211.0599999987</v>
      </c>
      <c r="AH11" s="14">
        <v>41760</v>
      </c>
      <c r="AI11" s="17">
        <v>6210211.0599999987</v>
      </c>
      <c r="AL11" s="13">
        <v>42125</v>
      </c>
      <c r="AM11" s="17">
        <f t="shared" si="1"/>
        <v>9827573.2249299977</v>
      </c>
      <c r="AO11" s="6">
        <f t="shared" si="0"/>
        <v>3933647.7488323059</v>
      </c>
      <c r="AP11" s="6">
        <f t="shared" si="2"/>
        <v>13761220.973762304</v>
      </c>
      <c r="AQ11" s="6">
        <f t="shared" si="3"/>
        <v>5893925.4760976918</v>
      </c>
    </row>
    <row r="12" spans="2:43" x14ac:dyDescent="0.35">
      <c r="B12" s="18" t="s">
        <v>30</v>
      </c>
      <c r="C12" s="17">
        <v>5586859.8699999992</v>
      </c>
      <c r="J12" s="6"/>
      <c r="K12" s="6" t="s">
        <v>78</v>
      </c>
      <c r="L12" s="17">
        <v>9518893.8199999966</v>
      </c>
      <c r="T12" s="6" t="s">
        <v>43</v>
      </c>
      <c r="U12" s="7">
        <v>0.14794362834378741</v>
      </c>
      <c r="AD12" s="6"/>
      <c r="AE12" s="6" t="s">
        <v>78</v>
      </c>
      <c r="AF12" s="17">
        <v>9518893.8199999966</v>
      </c>
      <c r="AH12" s="14">
        <v>41791</v>
      </c>
      <c r="AI12" s="17">
        <v>9518893.8199999966</v>
      </c>
      <c r="AL12" s="13">
        <v>42156</v>
      </c>
      <c r="AM12" s="17">
        <f t="shared" si="1"/>
        <v>11687202.490846399</v>
      </c>
      <c r="AO12" s="6">
        <f t="shared" si="0"/>
        <v>3965167.3995839753</v>
      </c>
      <c r="AP12" s="6">
        <f t="shared" si="2"/>
        <v>15652369.890430374</v>
      </c>
      <c r="AQ12" s="6">
        <f t="shared" si="3"/>
        <v>7722035.0912624244</v>
      </c>
    </row>
    <row r="13" spans="2:43" x14ac:dyDescent="0.35">
      <c r="B13" s="18" t="s">
        <v>44</v>
      </c>
      <c r="C13" s="17">
        <v>6964775.0700000003</v>
      </c>
      <c r="J13" s="6"/>
      <c r="K13" s="6" t="s">
        <v>81</v>
      </c>
      <c r="L13" s="17">
        <v>8102920.1800000016</v>
      </c>
      <c r="AD13" s="6"/>
      <c r="AE13" s="6" t="s">
        <v>81</v>
      </c>
      <c r="AF13" s="17">
        <v>8102920.1800000016</v>
      </c>
      <c r="AH13" s="14">
        <v>41821</v>
      </c>
      <c r="AI13" s="17">
        <v>8102920.1800000016</v>
      </c>
    </row>
    <row r="14" spans="2:43" x14ac:dyDescent="0.35">
      <c r="B14" s="18" t="s">
        <v>47</v>
      </c>
      <c r="C14" s="17">
        <v>6210211.0600000005</v>
      </c>
      <c r="J14" s="6"/>
      <c r="K14" s="6" t="s">
        <v>82</v>
      </c>
      <c r="L14" s="17">
        <v>5864622.4200000009</v>
      </c>
      <c r="T14" s="8" t="s">
        <v>70</v>
      </c>
      <c r="AD14" s="6"/>
      <c r="AE14" s="6" t="s">
        <v>82</v>
      </c>
      <c r="AF14" s="17">
        <v>5864622.4200000009</v>
      </c>
      <c r="AH14" s="14">
        <v>41852</v>
      </c>
      <c r="AI14" s="17">
        <v>5864622.4200000009</v>
      </c>
    </row>
    <row r="15" spans="2:43" x14ac:dyDescent="0.35">
      <c r="B15" s="18" t="s">
        <v>26</v>
      </c>
      <c r="C15" s="17">
        <v>9518893.8199999966</v>
      </c>
      <c r="J15" s="6"/>
      <c r="K15" s="6" t="s">
        <v>83</v>
      </c>
      <c r="L15" s="17">
        <v>6398697.2400000012</v>
      </c>
      <c r="T15" s="5" t="s">
        <v>1</v>
      </c>
      <c r="U15" s="6" t="s">
        <v>91</v>
      </c>
      <c r="X15" s="23"/>
      <c r="AD15" s="6"/>
      <c r="AE15" s="6" t="s">
        <v>83</v>
      </c>
      <c r="AF15" s="17">
        <v>6398697.2400000012</v>
      </c>
      <c r="AH15" s="14">
        <v>41883</v>
      </c>
      <c r="AI15" s="17">
        <v>6398697.2400000012</v>
      </c>
    </row>
    <row r="16" spans="2:43" x14ac:dyDescent="0.35">
      <c r="B16" s="18" t="s">
        <v>33</v>
      </c>
      <c r="C16" s="17">
        <v>8102920.1800000016</v>
      </c>
      <c r="J16" s="6"/>
      <c r="K16" s="6" t="s">
        <v>84</v>
      </c>
      <c r="L16" s="17">
        <v>12375819.920000002</v>
      </c>
      <c r="T16" s="6" t="s">
        <v>32</v>
      </c>
      <c r="U16" s="25">
        <v>-3.1335672137711455E-2</v>
      </c>
      <c r="W16" s="26">
        <f>MIN(U16:U20)</f>
        <v>-3.1335672137711455E-2</v>
      </c>
      <c r="X16" s="24"/>
      <c r="AD16" s="6"/>
      <c r="AE16" s="6" t="s">
        <v>84</v>
      </c>
      <c r="AF16" s="17">
        <v>12375819.920000002</v>
      </c>
      <c r="AH16" s="14">
        <v>41913</v>
      </c>
      <c r="AI16" s="17">
        <v>12375819.920000002</v>
      </c>
      <c r="AL16" s="6"/>
      <c r="AM16" s="29" t="s">
        <v>96</v>
      </c>
      <c r="AN16" s="29" t="s">
        <v>95</v>
      </c>
    </row>
    <row r="17" spans="2:40" x14ac:dyDescent="0.35">
      <c r="B17" s="18" t="s">
        <v>35</v>
      </c>
      <c r="C17" s="17">
        <v>5864622.4199999999</v>
      </c>
      <c r="J17" s="6"/>
      <c r="K17" s="6" t="s">
        <v>86</v>
      </c>
      <c r="L17" s="17">
        <v>5384214.1999999993</v>
      </c>
      <c r="T17" s="6" t="s">
        <v>34</v>
      </c>
      <c r="U17" s="25">
        <v>9.7651938781771724E-2</v>
      </c>
      <c r="W17" s="27" t="str">
        <f>_xlfn.CONCAT(_xlfn.XLOOKUP(W16,U15:U20,T15:T20), ":")</f>
        <v>Enterprise:</v>
      </c>
      <c r="X17" s="24"/>
      <c r="AD17" s="6"/>
      <c r="AE17" s="6" t="s">
        <v>86</v>
      </c>
      <c r="AF17" s="17">
        <v>5384214.1999999993</v>
      </c>
      <c r="AH17" s="14">
        <v>41944</v>
      </c>
      <c r="AI17" s="17">
        <v>5384214.1999999993</v>
      </c>
      <c r="AL17" s="6" t="s">
        <v>93</v>
      </c>
      <c r="AM17" s="17">
        <f>AI18</f>
        <v>11998787.9</v>
      </c>
      <c r="AN17" s="6"/>
    </row>
    <row r="18" spans="2:40" x14ac:dyDescent="0.35">
      <c r="B18" s="18" t="s">
        <v>36</v>
      </c>
      <c r="C18" s="17">
        <v>10882697.270000003</v>
      </c>
      <c r="J18" s="6"/>
      <c r="K18" s="6" t="s">
        <v>79</v>
      </c>
      <c r="L18" s="17">
        <v>11998787.9</v>
      </c>
      <c r="T18" s="6" t="s">
        <v>18</v>
      </c>
      <c r="U18" s="25">
        <v>0.21689998153820259</v>
      </c>
      <c r="X18" s="24"/>
      <c r="AD18" s="6"/>
      <c r="AE18" s="6" t="s">
        <v>79</v>
      </c>
      <c r="AF18" s="17">
        <v>11998787.9</v>
      </c>
      <c r="AH18" s="14">
        <v>41974</v>
      </c>
      <c r="AI18" s="17">
        <v>11998787.9</v>
      </c>
      <c r="AL18" s="6" t="s">
        <v>94</v>
      </c>
      <c r="AM18" s="17">
        <f>AM12</f>
        <v>11687202.490846399</v>
      </c>
      <c r="AN18" s="30">
        <f>(AM18-AM17)/AM17</f>
        <v>-2.5968073754649931E-2</v>
      </c>
    </row>
    <row r="19" spans="2:40" x14ac:dyDescent="0.35">
      <c r="B19" s="18" t="s">
        <v>37</v>
      </c>
      <c r="C19" s="17">
        <v>21671431.020000018</v>
      </c>
      <c r="T19" s="6" t="s">
        <v>24</v>
      </c>
      <c r="U19" s="25">
        <v>0.27713496179907982</v>
      </c>
      <c r="X19" s="24"/>
    </row>
    <row r="20" spans="2:40" x14ac:dyDescent="0.35">
      <c r="B20" s="18" t="s">
        <v>41</v>
      </c>
      <c r="C20" s="17">
        <v>12651417.499999998</v>
      </c>
      <c r="T20" s="6" t="s">
        <v>31</v>
      </c>
      <c r="U20" s="25">
        <v>0.73131611194628043</v>
      </c>
      <c r="X20" s="24"/>
    </row>
    <row r="21" spans="2:40" x14ac:dyDescent="0.35">
      <c r="B21" s="18" t="s">
        <v>28</v>
      </c>
      <c r="C21" s="17">
        <v>17367228.980000004</v>
      </c>
    </row>
    <row r="25" spans="2:40" x14ac:dyDescent="0.35">
      <c r="B25" s="5" t="s">
        <v>89</v>
      </c>
      <c r="C25" s="6" t="s">
        <v>51</v>
      </c>
      <c r="J25" s="8" t="s">
        <v>56</v>
      </c>
      <c r="T25" s="31" t="s">
        <v>62</v>
      </c>
      <c r="U25" s="31"/>
      <c r="V25" s="31"/>
      <c r="W25" s="31"/>
    </row>
    <row r="26" spans="2:40" x14ac:dyDescent="0.35">
      <c r="B26" s="18" t="s">
        <v>22</v>
      </c>
      <c r="C26" s="4">
        <v>814028.67999999993</v>
      </c>
      <c r="J26" s="5" t="s">
        <v>1</v>
      </c>
      <c r="K26" s="6" t="s">
        <v>54</v>
      </c>
      <c r="L26" s="6" t="s">
        <v>51</v>
      </c>
      <c r="T26" s="5" t="s">
        <v>3</v>
      </c>
      <c r="U26" s="6" t="s">
        <v>54</v>
      </c>
      <c r="V26" s="6" t="s">
        <v>52</v>
      </c>
      <c r="W26" s="6" t="s">
        <v>61</v>
      </c>
    </row>
    <row r="27" spans="2:40" x14ac:dyDescent="0.35">
      <c r="B27" s="18" t="s">
        <v>40</v>
      </c>
      <c r="C27" s="4">
        <v>1148547.3899999999</v>
      </c>
      <c r="J27" s="6" t="s">
        <v>32</v>
      </c>
      <c r="K27" s="17">
        <v>-614545.625</v>
      </c>
      <c r="L27" s="7">
        <v>-3.6377202317285341E-2</v>
      </c>
      <c r="T27" s="6" t="s">
        <v>39</v>
      </c>
      <c r="U27" s="4">
        <v>4797437.9499999993</v>
      </c>
      <c r="V27" s="7">
        <v>0.14532783102780047</v>
      </c>
      <c r="W27" s="10">
        <v>338239.5</v>
      </c>
    </row>
    <row r="28" spans="2:40" x14ac:dyDescent="0.35">
      <c r="B28" s="18" t="s">
        <v>30</v>
      </c>
      <c r="C28" s="4">
        <v>669866.87</v>
      </c>
      <c r="J28" s="6" t="s">
        <v>24</v>
      </c>
      <c r="K28" s="17">
        <v>660103.07499999984</v>
      </c>
      <c r="L28" s="7">
        <v>3.9073914340431885E-2</v>
      </c>
      <c r="T28" s="6" t="s">
        <v>43</v>
      </c>
      <c r="U28" s="4">
        <v>3034608.0200000005</v>
      </c>
      <c r="V28" s="7">
        <v>0.14794362834378741</v>
      </c>
      <c r="W28" s="10">
        <v>168783</v>
      </c>
    </row>
    <row r="29" spans="2:40" x14ac:dyDescent="0.35">
      <c r="B29" s="18" t="s">
        <v>44</v>
      </c>
      <c r="C29" s="4">
        <v>929984.56999999983</v>
      </c>
      <c r="J29" s="6" t="s">
        <v>31</v>
      </c>
      <c r="K29" s="17">
        <v>1316803.1400000001</v>
      </c>
      <c r="L29" s="7">
        <v>7.7946392077588411E-2</v>
      </c>
      <c r="N29" s="28">
        <f>MAX(L27:L31)</f>
        <v>0.67410760499575639</v>
      </c>
      <c r="T29" s="6" t="s">
        <v>42</v>
      </c>
      <c r="U29" s="4">
        <v>2305992.4649999999</v>
      </c>
      <c r="V29" s="7">
        <v>0.12635533979614899</v>
      </c>
      <c r="W29" s="10">
        <v>162424.5</v>
      </c>
    </row>
    <row r="30" spans="2:40" x14ac:dyDescent="0.35">
      <c r="B30" s="18" t="s">
        <v>47</v>
      </c>
      <c r="C30" s="4">
        <v>828640.06</v>
      </c>
      <c r="J30" s="6" t="s">
        <v>34</v>
      </c>
      <c r="K30" s="17">
        <v>4143168.5</v>
      </c>
      <c r="L30" s="7">
        <v>0.2452492909035088</v>
      </c>
      <c r="T30" s="6" t="s">
        <v>45</v>
      </c>
      <c r="U30" s="4">
        <v>2814104.06</v>
      </c>
      <c r="V30" s="7">
        <v>0.15856683702782975</v>
      </c>
      <c r="W30" s="10">
        <v>155315</v>
      </c>
    </row>
    <row r="31" spans="2:40" x14ac:dyDescent="0.35">
      <c r="B31" s="18" t="s">
        <v>26</v>
      </c>
      <c r="C31" s="4">
        <v>1473753.8200000003</v>
      </c>
      <c r="J31" s="6" t="s">
        <v>18</v>
      </c>
      <c r="K31" s="17">
        <v>11388173.169999985</v>
      </c>
      <c r="L31" s="7">
        <v>0.67410760499575639</v>
      </c>
      <c r="T31" s="6" t="s">
        <v>29</v>
      </c>
      <c r="U31" s="4">
        <v>2114754.8800000004</v>
      </c>
      <c r="V31" s="7">
        <v>0.13740381407599545</v>
      </c>
      <c r="W31" s="10">
        <v>154198</v>
      </c>
    </row>
    <row r="32" spans="2:40" x14ac:dyDescent="0.35">
      <c r="B32" s="18" t="s">
        <v>33</v>
      </c>
      <c r="C32" s="4">
        <v>923865.67999999982</v>
      </c>
      <c r="T32" s="6" t="s">
        <v>20</v>
      </c>
      <c r="U32" s="4">
        <v>1826804.8849999998</v>
      </c>
      <c r="V32" s="7">
        <v>0.13223048666063075</v>
      </c>
      <c r="W32" s="10">
        <v>146846</v>
      </c>
    </row>
    <row r="33" spans="2:24" x14ac:dyDescent="0.35">
      <c r="B33" s="18" t="s">
        <v>35</v>
      </c>
      <c r="C33" s="4">
        <v>791066.41999999993</v>
      </c>
    </row>
    <row r="34" spans="2:24" x14ac:dyDescent="0.35">
      <c r="B34" s="18" t="s">
        <v>36</v>
      </c>
      <c r="C34" s="4">
        <v>1786735.2699999996</v>
      </c>
      <c r="J34" s="8" t="s">
        <v>57</v>
      </c>
    </row>
    <row r="35" spans="2:24" x14ac:dyDescent="0.35">
      <c r="B35" s="18" t="s">
        <v>37</v>
      </c>
      <c r="C35" s="4">
        <v>3439781.0200000014</v>
      </c>
      <c r="J35" s="5" t="s">
        <v>3</v>
      </c>
      <c r="K35" s="6" t="s">
        <v>54</v>
      </c>
    </row>
    <row r="36" spans="2:24" x14ac:dyDescent="0.35">
      <c r="B36" s="18" t="s">
        <v>41</v>
      </c>
      <c r="C36" s="4">
        <v>1370102.5</v>
      </c>
      <c r="J36" s="6" t="s">
        <v>20</v>
      </c>
      <c r="K36" s="17">
        <v>1826804.8849999998</v>
      </c>
      <c r="T36" s="31" t="s">
        <v>73</v>
      </c>
      <c r="U36" s="31"/>
      <c r="V36" s="31"/>
      <c r="W36" s="31"/>
      <c r="X36" s="11"/>
    </row>
    <row r="37" spans="2:24" x14ac:dyDescent="0.35">
      <c r="B37" s="18" t="s">
        <v>28</v>
      </c>
      <c r="C37" s="4">
        <v>2717329.9799999991</v>
      </c>
      <c r="J37" s="6" t="s">
        <v>29</v>
      </c>
      <c r="K37" s="17">
        <v>2114754.8800000004</v>
      </c>
      <c r="T37" s="5" t="s">
        <v>51</v>
      </c>
      <c r="U37" s="5" t="s">
        <v>71</v>
      </c>
      <c r="V37" s="6"/>
      <c r="W37" s="6"/>
      <c r="X37" s="6"/>
    </row>
    <row r="38" spans="2:24" x14ac:dyDescent="0.35">
      <c r="J38" s="6" t="s">
        <v>42</v>
      </c>
      <c r="K38" s="17">
        <v>2305992.4649999999</v>
      </c>
      <c r="T38" s="5" t="s">
        <v>3</v>
      </c>
      <c r="U38" s="6" t="s">
        <v>49</v>
      </c>
      <c r="V38" s="6" t="s">
        <v>46</v>
      </c>
      <c r="W38" s="6" t="s">
        <v>48</v>
      </c>
      <c r="X38" s="6" t="s">
        <v>72</v>
      </c>
    </row>
    <row r="39" spans="2:24" x14ac:dyDescent="0.35">
      <c r="J39" s="6" t="s">
        <v>45</v>
      </c>
      <c r="K39" s="17">
        <v>2814104.06</v>
      </c>
      <c r="T39" s="6" t="s">
        <v>45</v>
      </c>
      <c r="U39" s="4">
        <v>2101859.92</v>
      </c>
      <c r="V39" s="4">
        <v>206386.5</v>
      </c>
      <c r="W39" s="4">
        <v>627797.6399999999</v>
      </c>
      <c r="X39" s="4">
        <v>-121940</v>
      </c>
    </row>
    <row r="40" spans="2:24" x14ac:dyDescent="0.35">
      <c r="J40" s="6" t="s">
        <v>43</v>
      </c>
      <c r="K40" s="17">
        <v>3034608.0200000005</v>
      </c>
      <c r="T40" s="6" t="s">
        <v>20</v>
      </c>
      <c r="U40" s="4">
        <v>1406346.36</v>
      </c>
      <c r="V40" s="4">
        <v>107803.125</v>
      </c>
      <c r="W40" s="4">
        <v>543765.4</v>
      </c>
      <c r="X40" s="4">
        <v>-231110</v>
      </c>
    </row>
    <row r="41" spans="2:24" x14ac:dyDescent="0.35">
      <c r="J41" s="6" t="s">
        <v>39</v>
      </c>
      <c r="K41" s="17">
        <v>4797437.9499999993</v>
      </c>
      <c r="T41" s="6" t="s">
        <v>29</v>
      </c>
      <c r="U41" s="4">
        <v>931799.73999999976</v>
      </c>
      <c r="V41" s="4">
        <v>246101.5</v>
      </c>
      <c r="W41" s="4">
        <v>993379.8899999999</v>
      </c>
      <c r="X41" s="4">
        <v>-56526.25</v>
      </c>
    </row>
    <row r="42" spans="2:24" x14ac:dyDescent="0.35">
      <c r="B42" s="5" t="s">
        <v>89</v>
      </c>
      <c r="C42" s="6" t="s">
        <v>61</v>
      </c>
      <c r="T42" s="6" t="s">
        <v>39</v>
      </c>
      <c r="U42" s="4">
        <v>2439544.1150000016</v>
      </c>
      <c r="V42" s="4">
        <v>374193.75</v>
      </c>
      <c r="W42" s="4">
        <v>2104248.8350000004</v>
      </c>
      <c r="X42" s="4">
        <v>-120548.75</v>
      </c>
    </row>
    <row r="43" spans="2:24" x14ac:dyDescent="0.35">
      <c r="B43" s="18" t="s">
        <v>22</v>
      </c>
      <c r="C43" s="4">
        <v>67835.5</v>
      </c>
      <c r="T43" s="6" t="s">
        <v>42</v>
      </c>
      <c r="U43" s="4">
        <v>1521162.5249999997</v>
      </c>
      <c r="V43" s="4">
        <v>301075.25</v>
      </c>
      <c r="W43" s="4">
        <v>609210.94000000006</v>
      </c>
      <c r="X43" s="4">
        <v>-125456.25</v>
      </c>
    </row>
    <row r="44" spans="2:24" x14ac:dyDescent="0.35">
      <c r="B44" s="18" t="s">
        <v>40</v>
      </c>
      <c r="C44" s="4">
        <v>55115</v>
      </c>
      <c r="J44" s="8" t="s">
        <v>58</v>
      </c>
      <c r="T44" s="6" t="s">
        <v>43</v>
      </c>
      <c r="U44" s="4">
        <v>1593166.3800000006</v>
      </c>
      <c r="V44" s="4">
        <v>300295.5</v>
      </c>
      <c r="W44" s="4">
        <v>1262886.1400000001</v>
      </c>
      <c r="X44" s="4">
        <v>-121740</v>
      </c>
    </row>
    <row r="45" spans="2:24" x14ac:dyDescent="0.35">
      <c r="B45" s="18" t="s">
        <v>30</v>
      </c>
      <c r="C45" s="4">
        <v>53420</v>
      </c>
      <c r="J45" s="5" t="s">
        <v>2</v>
      </c>
      <c r="K45" s="6" t="s">
        <v>51</v>
      </c>
    </row>
    <row r="46" spans="2:24" x14ac:dyDescent="0.35">
      <c r="B46" s="18" t="s">
        <v>44</v>
      </c>
      <c r="C46" s="4">
        <v>78886.5</v>
      </c>
      <c r="J46" s="6" t="s">
        <v>25</v>
      </c>
      <c r="K46" s="17">
        <v>3781020.7800000007</v>
      </c>
    </row>
    <row r="47" spans="2:24" x14ac:dyDescent="0.35">
      <c r="B47" s="18" t="s">
        <v>47</v>
      </c>
      <c r="C47" s="4">
        <v>51771</v>
      </c>
      <c r="J47" s="6" t="s">
        <v>23</v>
      </c>
      <c r="K47" s="17">
        <v>3680388.8200000008</v>
      </c>
    </row>
    <row r="48" spans="2:24" x14ac:dyDescent="0.35">
      <c r="B48" s="18" t="s">
        <v>26</v>
      </c>
      <c r="C48" s="4">
        <v>103302</v>
      </c>
      <c r="J48" s="6" t="s">
        <v>19</v>
      </c>
      <c r="K48" s="17">
        <v>3529228.8850000002</v>
      </c>
    </row>
    <row r="49" spans="2:22" x14ac:dyDescent="0.35">
      <c r="B49" s="18" t="s">
        <v>33</v>
      </c>
      <c r="C49" s="4">
        <v>69349</v>
      </c>
      <c r="J49" s="6" t="s">
        <v>38</v>
      </c>
      <c r="K49" s="17">
        <v>2995540.6649999991</v>
      </c>
      <c r="T49" s="5" t="s">
        <v>3</v>
      </c>
      <c r="U49" s="6" t="s">
        <v>52</v>
      </c>
      <c r="V49" s="6" t="s">
        <v>90</v>
      </c>
    </row>
    <row r="50" spans="2:22" x14ac:dyDescent="0.35">
      <c r="B50" s="18" t="s">
        <v>35</v>
      </c>
      <c r="C50" s="4">
        <v>60705</v>
      </c>
      <c r="J50" s="6" t="s">
        <v>27</v>
      </c>
      <c r="K50" s="17">
        <v>2907523.1100000003</v>
      </c>
      <c r="T50" s="6" t="s">
        <v>45</v>
      </c>
      <c r="U50" s="20">
        <v>0.15856683702782975</v>
      </c>
      <c r="V50" s="4">
        <v>27.252971057860211</v>
      </c>
    </row>
    <row r="51" spans="2:22" x14ac:dyDescent="0.35">
      <c r="B51" s="18" t="s">
        <v>36</v>
      </c>
      <c r="C51" s="4">
        <v>107881</v>
      </c>
      <c r="T51" s="6" t="s">
        <v>20</v>
      </c>
      <c r="U51" s="20">
        <v>0.13223048666063075</v>
      </c>
      <c r="V51" s="4">
        <v>27.456401244096831</v>
      </c>
    </row>
    <row r="52" spans="2:22" x14ac:dyDescent="0.35">
      <c r="B52" s="18" t="s">
        <v>37</v>
      </c>
      <c r="C52" s="4">
        <v>201104</v>
      </c>
      <c r="T52" s="6" t="s">
        <v>29</v>
      </c>
      <c r="U52" s="20">
        <v>0.13740381407599545</v>
      </c>
      <c r="V52" s="4">
        <v>25.304754863837235</v>
      </c>
    </row>
    <row r="53" spans="2:22" x14ac:dyDescent="0.35">
      <c r="B53" s="18" t="s">
        <v>41</v>
      </c>
      <c r="C53" s="4">
        <v>121131</v>
      </c>
      <c r="T53" s="6" t="s">
        <v>39</v>
      </c>
      <c r="U53" s="20">
        <v>0.14532783102780047</v>
      </c>
      <c r="V53" s="4">
        <v>57.672589446234284</v>
      </c>
    </row>
    <row r="54" spans="2:22" x14ac:dyDescent="0.35">
      <c r="B54" s="18" t="s">
        <v>28</v>
      </c>
      <c r="C54" s="4">
        <v>155306</v>
      </c>
      <c r="T54" s="6" t="s">
        <v>42</v>
      </c>
      <c r="U54" s="20">
        <v>0.12635533979614899</v>
      </c>
      <c r="V54" s="4">
        <v>28.869571274035845</v>
      </c>
    </row>
    <row r="55" spans="2:22" x14ac:dyDescent="0.35">
      <c r="T55" s="6" t="s">
        <v>43</v>
      </c>
      <c r="U55" s="20">
        <v>0.14794362834378741</v>
      </c>
      <c r="V55" s="4">
        <v>28.750405097939019</v>
      </c>
    </row>
    <row r="58" spans="2:22" x14ac:dyDescent="0.35">
      <c r="B58" s="5" t="s">
        <v>89</v>
      </c>
      <c r="C58" s="6" t="s">
        <v>90</v>
      </c>
      <c r="T58" s="8" t="s">
        <v>59</v>
      </c>
    </row>
    <row r="59" spans="2:22" x14ac:dyDescent="0.35">
      <c r="B59" s="18" t="s">
        <v>22</v>
      </c>
      <c r="C59" s="15">
        <v>9.4594819221262973</v>
      </c>
      <c r="T59" s="5" t="s">
        <v>4</v>
      </c>
      <c r="U59" s="6" t="s">
        <v>51</v>
      </c>
    </row>
    <row r="60" spans="2:22" x14ac:dyDescent="0.35">
      <c r="B60" s="18" t="s">
        <v>40</v>
      </c>
      <c r="C60" s="15">
        <v>9.9428407352800043</v>
      </c>
      <c r="T60" s="6" t="s">
        <v>49</v>
      </c>
      <c r="U60" s="17">
        <v>3388866.7250000001</v>
      </c>
    </row>
    <row r="61" spans="2:22" x14ac:dyDescent="0.35">
      <c r="B61" s="18" t="s">
        <v>30</v>
      </c>
      <c r="C61" s="15">
        <v>9.6862861944689982</v>
      </c>
      <c r="T61" s="6" t="s">
        <v>46</v>
      </c>
      <c r="U61" s="17">
        <v>6188857.7000000011</v>
      </c>
    </row>
    <row r="62" spans="2:22" x14ac:dyDescent="0.35">
      <c r="B62" s="18" t="s">
        <v>44</v>
      </c>
      <c r="C62" s="15">
        <v>9.8424186612562234</v>
      </c>
      <c r="T62" s="6" t="s">
        <v>48</v>
      </c>
      <c r="U62" s="17">
        <v>5579522.8349999972</v>
      </c>
    </row>
    <row r="63" spans="2:22" x14ac:dyDescent="0.35">
      <c r="B63" s="18" t="s">
        <v>47</v>
      </c>
      <c r="C63" s="15">
        <v>9.6090800322692278</v>
      </c>
      <c r="T63" s="6" t="s">
        <v>21</v>
      </c>
      <c r="U63" s="17">
        <v>1736455</v>
      </c>
    </row>
    <row r="64" spans="2:22" x14ac:dyDescent="0.35">
      <c r="B64" s="18" t="s">
        <v>26</v>
      </c>
      <c r="C64" s="15">
        <v>20.327100859756875</v>
      </c>
    </row>
    <row r="65" spans="2:22" x14ac:dyDescent="0.35">
      <c r="B65" s="18" t="s">
        <v>33</v>
      </c>
      <c r="C65" s="15">
        <v>9.5866172035357042</v>
      </c>
      <c r="M65" t="s">
        <v>60</v>
      </c>
    </row>
    <row r="66" spans="2:22" x14ac:dyDescent="0.35">
      <c r="B66" s="18" t="s">
        <v>35</v>
      </c>
      <c r="C66" s="15">
        <v>9.8319341166606229</v>
      </c>
    </row>
    <row r="67" spans="2:22" x14ac:dyDescent="0.35">
      <c r="B67" s="18" t="s">
        <v>36</v>
      </c>
      <c r="C67" s="15">
        <v>19.691600273667945</v>
      </c>
      <c r="T67" s="5" t="s">
        <v>1</v>
      </c>
      <c r="U67" s="6" t="s">
        <v>54</v>
      </c>
      <c r="V67" s="6" t="s">
        <v>51</v>
      </c>
    </row>
    <row r="68" spans="2:22" x14ac:dyDescent="0.35">
      <c r="B68" s="18" t="s">
        <v>37</v>
      </c>
      <c r="C68" s="15">
        <v>38.757787940611735</v>
      </c>
      <c r="T68" s="6" t="s">
        <v>18</v>
      </c>
      <c r="U68" s="4">
        <v>11388173.169999985</v>
      </c>
      <c r="V68" s="7">
        <v>0.67410760499575639</v>
      </c>
    </row>
    <row r="69" spans="2:22" x14ac:dyDescent="0.35">
      <c r="B69" s="18" t="s">
        <v>41</v>
      </c>
      <c r="C69" s="15">
        <v>18.716469081040941</v>
      </c>
      <c r="T69" s="6" t="s">
        <v>34</v>
      </c>
      <c r="U69" s="4">
        <v>4143168.5</v>
      </c>
      <c r="V69" s="7">
        <v>0.2452492909035088</v>
      </c>
    </row>
    <row r="70" spans="2:22" x14ac:dyDescent="0.35">
      <c r="B70" s="18" t="s">
        <v>28</v>
      </c>
      <c r="C70" s="15">
        <v>29.855075963328829</v>
      </c>
      <c r="T70" s="6" t="s">
        <v>31</v>
      </c>
      <c r="U70" s="4">
        <v>1316803.1400000001</v>
      </c>
      <c r="V70" s="7">
        <v>7.7946392077588411E-2</v>
      </c>
    </row>
    <row r="71" spans="2:22" x14ac:dyDescent="0.35">
      <c r="T71" s="6" t="s">
        <v>24</v>
      </c>
      <c r="U71" s="4">
        <v>660103.07499999984</v>
      </c>
      <c r="V71" s="7">
        <v>3.9073914340431885E-2</v>
      </c>
    </row>
    <row r="72" spans="2:22" x14ac:dyDescent="0.35">
      <c r="T72" s="6" t="s">
        <v>32</v>
      </c>
      <c r="U72" s="4">
        <v>-614545.625</v>
      </c>
      <c r="V72" s="7">
        <v>-3.6377202317285341E-2</v>
      </c>
    </row>
  </sheetData>
  <mergeCells count="4">
    <mergeCell ref="T25:W25"/>
    <mergeCell ref="B2:D2"/>
    <mergeCell ref="AE2:AH2"/>
    <mergeCell ref="T36:W36"/>
  </mergeCells>
  <phoneticPr fontId="6" type="noConversion"/>
  <pageMargins left="0.7" right="0.7" top="0.75" bottom="0.75" header="0.3" footer="0.3"/>
  <pageSetup orientation="portrait"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A30C-3E31-4D8D-A308-37F69FB473E5}">
  <dimension ref="A1:E19"/>
  <sheetViews>
    <sheetView workbookViewId="0"/>
  </sheetViews>
  <sheetFormatPr defaultRowHeight="14.5" x14ac:dyDescent="0.35"/>
  <cols>
    <col min="1" max="1" width="15.81640625" customWidth="1"/>
    <col min="2" max="2" width="9.6328125" customWidth="1"/>
    <col min="3" max="3" width="18" customWidth="1"/>
    <col min="4" max="4" width="31.7265625" customWidth="1"/>
    <col min="5" max="5" width="31.81640625" customWidth="1"/>
  </cols>
  <sheetData>
    <row r="1" spans="1:5" x14ac:dyDescent="0.35">
      <c r="A1" t="s">
        <v>11</v>
      </c>
      <c r="B1" t="s">
        <v>53</v>
      </c>
      <c r="C1" t="s">
        <v>74</v>
      </c>
      <c r="D1" t="s">
        <v>75</v>
      </c>
      <c r="E1" t="s">
        <v>76</v>
      </c>
    </row>
    <row r="2" spans="1:5" x14ac:dyDescent="0.35">
      <c r="A2">
        <v>1</v>
      </c>
      <c r="B2" s="21">
        <v>6607761.6799999997</v>
      </c>
    </row>
    <row r="3" spans="1:5" x14ac:dyDescent="0.35">
      <c r="A3">
        <v>2</v>
      </c>
      <c r="B3" s="21">
        <v>7297531.3900000015</v>
      </c>
    </row>
    <row r="4" spans="1:5" x14ac:dyDescent="0.35">
      <c r="A4">
        <v>3</v>
      </c>
      <c r="B4" s="21">
        <v>5586859.8699999982</v>
      </c>
    </row>
    <row r="5" spans="1:5" x14ac:dyDescent="0.35">
      <c r="A5">
        <v>4</v>
      </c>
      <c r="B5" s="21">
        <v>6964775.0700000012</v>
      </c>
    </row>
    <row r="6" spans="1:5" x14ac:dyDescent="0.35">
      <c r="A6">
        <v>5</v>
      </c>
      <c r="B6" s="21">
        <v>6210211.0599999987</v>
      </c>
    </row>
    <row r="7" spans="1:5" x14ac:dyDescent="0.35">
      <c r="A7">
        <v>6</v>
      </c>
      <c r="B7" s="21">
        <v>9518893.8199999966</v>
      </c>
    </row>
    <row r="8" spans="1:5" x14ac:dyDescent="0.35">
      <c r="A8">
        <v>7</v>
      </c>
      <c r="B8" s="21">
        <v>8102920.1800000016</v>
      </c>
    </row>
    <row r="9" spans="1:5" x14ac:dyDescent="0.35">
      <c r="A9">
        <v>8</v>
      </c>
      <c r="B9" s="21">
        <v>5864622.4200000009</v>
      </c>
    </row>
    <row r="10" spans="1:5" x14ac:dyDescent="0.35">
      <c r="A10">
        <v>9</v>
      </c>
      <c r="B10" s="21">
        <v>6398697.2400000012</v>
      </c>
    </row>
    <row r="11" spans="1:5" x14ac:dyDescent="0.35">
      <c r="A11">
        <v>10</v>
      </c>
      <c r="B11" s="21">
        <v>12375819.920000002</v>
      </c>
    </row>
    <row r="12" spans="1:5" x14ac:dyDescent="0.35">
      <c r="A12">
        <v>11</v>
      </c>
      <c r="B12" s="21">
        <v>5384214.1999999993</v>
      </c>
    </row>
    <row r="13" spans="1:5" x14ac:dyDescent="0.35">
      <c r="A13">
        <v>12</v>
      </c>
      <c r="B13" s="21">
        <v>11998787.9</v>
      </c>
      <c r="C13" s="21">
        <v>11998787.9</v>
      </c>
      <c r="D13" s="21">
        <v>11998787.9</v>
      </c>
      <c r="E13" s="21">
        <v>11998787.9</v>
      </c>
    </row>
    <row r="14" spans="1:5" x14ac:dyDescent="0.35">
      <c r="A14">
        <v>13</v>
      </c>
      <c r="C14" s="21">
        <f t="shared" ref="C14:C19" si="0">_xlfn.FORECAST.ETS(A14,$B$2:$B$13,$A$2:$A$13,1,1)</f>
        <v>8810030.5911185481</v>
      </c>
      <c r="D14" s="21">
        <f t="shared" ref="D14:D19" si="1">C14-_xlfn.FORECAST.ETS.CONFINT(A14,$B$2:$B$13,$A$2:$A$13,0.95,1,1)</f>
        <v>5001123.511848148</v>
      </c>
      <c r="E14" s="21">
        <f t="shared" ref="E14:E19" si="2">C14+_xlfn.FORECAST.ETS.CONFINT(A14,$B$2:$B$13,$A$2:$A$13,0.95,1,1)</f>
        <v>12618937.670388948</v>
      </c>
    </row>
    <row r="15" spans="1:5" x14ac:dyDescent="0.35">
      <c r="A15">
        <v>14</v>
      </c>
      <c r="C15" s="21">
        <f t="shared" si="0"/>
        <v>10669659.85703495</v>
      </c>
      <c r="D15" s="21">
        <f t="shared" si="1"/>
        <v>6830158.7160705011</v>
      </c>
      <c r="E15" s="21">
        <f t="shared" si="2"/>
        <v>14509160.997999398</v>
      </c>
    </row>
    <row r="16" spans="1:5" x14ac:dyDescent="0.35">
      <c r="A16">
        <v>15</v>
      </c>
      <c r="C16" s="21">
        <f t="shared" si="0"/>
        <v>9318801.908024272</v>
      </c>
      <c r="D16" s="21">
        <f t="shared" si="1"/>
        <v>5447988.9618506469</v>
      </c>
      <c r="E16" s="21">
        <f t="shared" si="2"/>
        <v>13189614.854197897</v>
      </c>
    </row>
    <row r="17" spans="1:5" x14ac:dyDescent="0.35">
      <c r="A17">
        <v>16</v>
      </c>
      <c r="C17" s="21">
        <f t="shared" si="0"/>
        <v>11178431.173940673</v>
      </c>
      <c r="D17" s="21">
        <f t="shared" si="1"/>
        <v>7276557.6858501909</v>
      </c>
      <c r="E17" s="21">
        <f t="shared" si="2"/>
        <v>15080304.662031155</v>
      </c>
    </row>
    <row r="18" spans="1:5" x14ac:dyDescent="0.35">
      <c r="A18">
        <v>17</v>
      </c>
      <c r="C18" s="21">
        <f t="shared" si="0"/>
        <v>9827573.2249299977</v>
      </c>
      <c r="D18" s="21">
        <f t="shared" si="1"/>
        <v>5893925.4760976918</v>
      </c>
      <c r="E18" s="21">
        <f t="shared" si="2"/>
        <v>13761220.973762304</v>
      </c>
    </row>
    <row r="19" spans="1:5" x14ac:dyDescent="0.35">
      <c r="A19">
        <v>18</v>
      </c>
      <c r="C19" s="21">
        <f t="shared" si="0"/>
        <v>11687202.490846399</v>
      </c>
      <c r="D19" s="21">
        <f t="shared" si="1"/>
        <v>7722035.0912624244</v>
      </c>
      <c r="E19" s="21">
        <f t="shared" si="2"/>
        <v>15652369.890430374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6583-9722-4465-AEBA-34D4567704DE}">
  <dimension ref="AG22"/>
  <sheetViews>
    <sheetView showGridLines="0" topLeftCell="A3" zoomScale="96" zoomScaleNormal="96" workbookViewId="0">
      <selection activeCell="M3" sqref="M1:M1048576"/>
    </sheetView>
  </sheetViews>
  <sheetFormatPr defaultRowHeight="14.5" x14ac:dyDescent="0.35"/>
  <cols>
    <col min="1" max="16384" width="8.7265625" style="16"/>
  </cols>
  <sheetData>
    <row r="22" spans="33:33" x14ac:dyDescent="0.35">
      <c r="AG22" s="16" t="s">
        <v>60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B1B6-BD01-4910-ABC3-8DCCE53F2837}">
  <dimension ref="AE22:AG25"/>
  <sheetViews>
    <sheetView showGridLines="0" tabSelected="1" topLeftCell="B4" zoomScaleNormal="100" workbookViewId="0">
      <selection activeCell="AE20" sqref="AE20"/>
    </sheetView>
  </sheetViews>
  <sheetFormatPr defaultRowHeight="14.5" x14ac:dyDescent="0.35"/>
  <cols>
    <col min="1" max="16384" width="8.7265625" style="16"/>
  </cols>
  <sheetData>
    <row r="22" spans="31:33" x14ac:dyDescent="0.35">
      <c r="AG22" s="16" t="s">
        <v>60</v>
      </c>
    </row>
    <row r="25" spans="31:33" x14ac:dyDescent="0.35">
      <c r="AE25" s="16" t="s">
        <v>60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790F-2957-405F-9E0E-67AE4BB5584D}">
  <dimension ref="A1"/>
  <sheetViews>
    <sheetView topLeftCell="A13" workbookViewId="0">
      <selection activeCell="I27" sqref="I27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AEDE8-B0AC-4CF0-9251-BAECF86DDE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Analysis</vt:lpstr>
      <vt:lpstr>Forecast Sheet</vt:lpstr>
      <vt:lpstr>Revenue</vt:lpstr>
      <vt:lpstr>Profit Sustainability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2026-02-19T10:56:28Z</dcterms:created>
  <dcterms:modified xsi:type="dcterms:W3CDTF">2026-02-25T23:29:48Z</dcterms:modified>
</cp:coreProperties>
</file>